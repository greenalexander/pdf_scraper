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iccon.sharepoint.com/sites/AICCON/Documenti condivisi/PROGETTI/1_PER COMMITTENZA/Fondazione del Monte/Anno 2026/02. Documento annuale/Materiale inviato/Rendicontazione ECCCO/Dati_puliti_alex/Dolce/"/>
    </mc:Choice>
  </mc:AlternateContent>
  <xr:revisionPtr revIDLastSave="1" documentId="11_C05A5017B4D0E4BC63D5A4D10B22E7E65719A129" xr6:coauthVersionLast="47" xr6:coauthVersionMax="47" xr10:uidLastSave="{1B67BE8E-DD32-46CD-A431-92CB6795FD85}"/>
  <bookViews>
    <workbookView xWindow="-108" yWindow="-108" windowWidth="23256" windowHeight="14616" xr2:uid="{00000000-000D-0000-FFFF-FFFF00000000}"/>
  </bookViews>
  <sheets>
    <sheet name="Rendicontazione finale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4" l="1"/>
  <c r="H129" i="4"/>
  <c r="H128" i="4"/>
  <c r="G168" i="4"/>
  <c r="H157" i="4"/>
  <c r="H162" i="4"/>
  <c r="H107" i="4"/>
  <c r="H161" i="4"/>
  <c r="H160" i="4"/>
  <c r="H159" i="4"/>
  <c r="H158" i="4"/>
  <c r="H131" i="4" l="1"/>
  <c r="H166" i="4"/>
  <c r="H117" i="4" l="1"/>
  <c r="H120" i="4" s="1"/>
  <c r="H97" i="4"/>
  <c r="H106" i="4"/>
  <c r="H105" i="4"/>
  <c r="H104" i="4"/>
  <c r="H103" i="4"/>
  <c r="H49" i="4"/>
  <c r="H48" i="4"/>
  <c r="H32" i="4"/>
  <c r="H33" i="4"/>
  <c r="H31" i="4"/>
  <c r="H153" i="4" l="1"/>
  <c r="H143" i="4"/>
  <c r="H168" i="4" l="1"/>
  <c r="H114" i="4"/>
  <c r="H94" i="4"/>
  <c r="H93" i="4"/>
  <c r="H92" i="4"/>
  <c r="H91" i="4"/>
  <c r="H81" i="4"/>
  <c r="H80" i="4"/>
  <c r="H79" i="4"/>
  <c r="H78" i="4"/>
  <c r="H68" i="4"/>
  <c r="H67" i="4"/>
  <c r="H66" i="4"/>
  <c r="H65" i="4"/>
  <c r="H86" i="4" l="1"/>
  <c r="H85" i="4"/>
  <c r="H42" i="4" l="1"/>
  <c r="H41" i="4"/>
  <c r="H40" i="4"/>
  <c r="H38" i="4"/>
  <c r="H39" i="4"/>
  <c r="H24" i="4"/>
  <c r="H23" i="4"/>
  <c r="H22" i="4"/>
  <c r="H15" i="4"/>
  <c r="H14" i="4"/>
  <c r="H12" i="4"/>
  <c r="H13" i="4"/>
  <c r="H11" i="4"/>
  <c r="G131" i="4" l="1"/>
  <c r="G114" i="4"/>
  <c r="G123" i="4" l="1"/>
  <c r="G171" i="4" s="1"/>
  <c r="H102" i="4"/>
  <c r="H101" i="4"/>
  <c r="H100" i="4"/>
  <c r="H99" i="4"/>
  <c r="H98" i="4"/>
  <c r="H96" i="4"/>
  <c r="H47" i="4"/>
  <c r="H46" i="4"/>
  <c r="H30" i="4"/>
  <c r="H29" i="4"/>
  <c r="H28" i="4"/>
  <c r="H108" i="4" l="1"/>
  <c r="H34" i="4"/>
  <c r="H50" i="4"/>
  <c r="H90" i="4"/>
  <c r="H89" i="4"/>
  <c r="H88" i="4"/>
  <c r="H87" i="4"/>
  <c r="H77" i="4"/>
  <c r="H95" i="4" l="1"/>
  <c r="H76" i="4"/>
  <c r="H75" i="4" l="1"/>
  <c r="H74" i="4" l="1"/>
  <c r="H73" i="4" l="1"/>
  <c r="H72" i="4" l="1"/>
  <c r="H82" i="4" s="1"/>
  <c r="H64" i="4" l="1"/>
  <c r="H63" i="4"/>
  <c r="H62" i="4" l="1"/>
  <c r="H61" i="4"/>
  <c r="H60" i="4"/>
  <c r="H59" i="4" l="1"/>
  <c r="H58" i="4"/>
  <c r="H54" i="4"/>
  <c r="H53" i="4"/>
  <c r="H37" i="4"/>
  <c r="H43" i="4" s="1"/>
  <c r="H8" i="4"/>
  <c r="H7" i="4"/>
  <c r="H10" i="4"/>
  <c r="H9" i="4"/>
  <c r="H6" i="4"/>
  <c r="H5" i="4"/>
  <c r="H20" i="4"/>
  <c r="H55" i="4" l="1"/>
  <c r="H18" i="4"/>
  <c r="H69" i="4"/>
  <c r="H21" i="4" l="1"/>
  <c r="H26" i="4" s="1"/>
  <c r="H123" i="4" l="1"/>
  <c r="H171" i="4" l="1"/>
</calcChain>
</file>

<file path=xl/sharedStrings.xml><?xml version="1.0" encoding="utf-8"?>
<sst xmlns="http://schemas.openxmlformats.org/spreadsheetml/2006/main" count="137" uniqueCount="137">
  <si>
    <t>A) Personale</t>
  </si>
  <si>
    <t>D) Altri costi connessi direttamente alla realizzazione del progetto</t>
  </si>
  <si>
    <t>Coordinatore pedagogico</t>
  </si>
  <si>
    <t>Costi Preventivi</t>
  </si>
  <si>
    <t xml:space="preserve">Responsabile - Società Dolce </t>
  </si>
  <si>
    <t>Educatore per attività pre-scolastiche</t>
  </si>
  <si>
    <t>Educatore per doposcuola 11-14 anni</t>
  </si>
  <si>
    <t>Affitto e utenze</t>
  </si>
  <si>
    <t>Pasti per doposcuola</t>
  </si>
  <si>
    <t>039_Fattura Felsinea Ristorazione  srl n.13501/2 del 30/09/2024</t>
  </si>
  <si>
    <t>040_Fattura Felsinea Ristorazione Srl n.14990/2 del 31/10/2024</t>
  </si>
  <si>
    <t>041_Fattura Bruneau Italia Srl n.8702311 del 07/11/2024</t>
  </si>
  <si>
    <t xml:space="preserve">042_Fattura Bruneau Italia Srl n,8674886 del 02.10.2024 </t>
  </si>
  <si>
    <t xml:space="preserve">043_Fattura Bruneau Italia Srl n. 8675619 del 13/10/2024 </t>
  </si>
  <si>
    <t>044_Fattura Compreur n. 20081 del 10/10/2024 del 30/09/2024</t>
  </si>
  <si>
    <t xml:space="preserve">045_Fattura Compreur Srl. N. 20912 del 21/10/2024 </t>
  </si>
  <si>
    <t xml:space="preserve">046_Fattura Compreur srl n. 22396 del 11/11/2024 </t>
  </si>
  <si>
    <t xml:space="preserve">047_Fattura La contabile spa n. 11663/00/2024 del 30/09/2024 </t>
  </si>
  <si>
    <t>Responsabile - Seneca</t>
  </si>
  <si>
    <t xml:space="preserve">001_Busta paga Elena Pizzoli n. 001090814 del 30/09/2024 </t>
  </si>
  <si>
    <t xml:space="preserve">002_Busta paga Elena Pizzoli  n. 001099585 del 31/10/2024 </t>
  </si>
  <si>
    <t xml:space="preserve">004_Busta paga Elena Pizzoli n. 001121529 del 31/12/2024 </t>
  </si>
  <si>
    <t xml:space="preserve">005_Busta paga Elena Pizzoli n. 001130733 del 31/01/2025 </t>
  </si>
  <si>
    <t xml:space="preserve">015_Busta paga Elena Pizzoli n. 001148161 del 31/03/2025 </t>
  </si>
  <si>
    <t xml:space="preserve">006_Busta paga Elena Pizzoli n. 001139488 del 31/02/2025 </t>
  </si>
  <si>
    <t xml:space="preserve">007_Busta paga Catrina Segata n. 001100496 del 30/10/2024 </t>
  </si>
  <si>
    <t xml:space="preserve">008_Busta paga Caterina Segata n. 001122624 del 31/12/2024 </t>
  </si>
  <si>
    <t xml:space="preserve">019_Busta paga Caterina Segata n. 001149060 del 31/03/2025 </t>
  </si>
  <si>
    <t xml:space="preserve">003_Busta paga Elena Pizzoli n. 001107819 del 30/11/2024 </t>
  </si>
  <si>
    <t>SEN001-Busta paga Renzo Colucci n.114919 del 30/09/2024</t>
  </si>
  <si>
    <t xml:space="preserve">SEN002_Busta paga Renzo Colucci n.115803 del 31/10/2024 </t>
  </si>
  <si>
    <t>SEN003_Busta paga Renzo Colucci n.120044 del 28/02/2025</t>
  </si>
  <si>
    <t xml:space="preserve">016_Busta paga Annarita Musacchio n.001090025 del 30/09/2024 </t>
  </si>
  <si>
    <t xml:space="preserve">017_Busta paga Annarita Musacchio n. 001120551 del 31/12/2024 </t>
  </si>
  <si>
    <t xml:space="preserve">018_Busta paga Annarita Musacchio n. 001149060 del 31/03/2025 </t>
  </si>
  <si>
    <t xml:space="preserve">SEN004_Busta paga Alessandra Casini Ropa n.114921 del 30/09/2024 </t>
  </si>
  <si>
    <t xml:space="preserve">SEN005_Busta paga Alessandra Casini Ropa n.120046 del 28/02/2025 </t>
  </si>
  <si>
    <t xml:space="preserve">009_Busta paga Manurela Deledda n. 001086999 del 30/09/2024 </t>
  </si>
  <si>
    <t xml:space="preserve">010_Busta paga Chiara Bandirali  n.001084910 del 30/09/2024 </t>
  </si>
  <si>
    <t xml:space="preserve">011_ Busta paga Cesare Curione  n. 001086737 del 30/09/2024 </t>
  </si>
  <si>
    <t xml:space="preserve">012_Busta paga Cesare Curione  n. 001095308 del 31/10/2024 </t>
  </si>
  <si>
    <t>013_Busta paga Cesare Curione n. 001103958 del 30/11/2024</t>
  </si>
  <si>
    <t xml:space="preserve">020_Busta paga Cesare Curione n.001126531 del 31/01/2025 </t>
  </si>
  <si>
    <t xml:space="preserve">021_Busta paga Cesare Curione  n. 001135274 del 28/02/2025 </t>
  </si>
  <si>
    <t xml:space="preserve">014_Busta paga Cesare Curione n. 001116420 del 31/12/2024 </t>
  </si>
  <si>
    <t>022_Busta paga Manuela Deledda n. 001135568 del 28/02/2025</t>
  </si>
  <si>
    <t xml:space="preserve">023 _Busta paga Cesare Curione n. 001143989 del 31/03/2025 </t>
  </si>
  <si>
    <t xml:space="preserve">024_Busta paga Manuela Deledda n. 001086999 del 30/09/2024 </t>
  </si>
  <si>
    <t xml:space="preserve">025_Busta paga Manuela Deledda n.001095602 del 31/10/2025 </t>
  </si>
  <si>
    <t xml:space="preserve">026_Busta paga Manuela Deledda n. 001104223 del 30/11/2024 </t>
  </si>
  <si>
    <t>027_Busta paga Manuela Deledda n.001116764 del 31/12/2024</t>
  </si>
  <si>
    <t xml:space="preserve">028_Busta paga Manuela Deledda n.001126827 del 31/01/2025 </t>
  </si>
  <si>
    <t xml:space="preserve">022_Busta paga Manuela Deledda n. 001135568 del 28/02/2025 </t>
  </si>
  <si>
    <t xml:space="preserve">029_Busta paga Manuela Deledda n.001144270 del 31/03/2025 </t>
  </si>
  <si>
    <t xml:space="preserve">030_Busta paga Noura Belgmimi n.001085054 del 30/09/2024 </t>
  </si>
  <si>
    <t xml:space="preserve">031_Busta paga Noura Belgmimi n. 001093549 del 31/10/2024 </t>
  </si>
  <si>
    <t xml:space="preserve">032_Busta paga Noura Belgmimi n.001102351 del 30/11/2024 </t>
  </si>
  <si>
    <t>033_Busta paga Noura Belgmimi n.001114299 del 31/12/2024</t>
  </si>
  <si>
    <t xml:space="preserve">035_Busta paga Noura Belgmimi n. 001133501 del 28/02/2025 </t>
  </si>
  <si>
    <t xml:space="preserve">034_Busta paga Noura Belgmimi n.001124767 del 31/01/2025 </t>
  </si>
  <si>
    <t xml:space="preserve">036_Busta paga Noura Belgmimi n.001142267 del 31/03/2025 </t>
  </si>
  <si>
    <t>Rendicontazione - Società Dolce</t>
  </si>
  <si>
    <t>Rendicontazione - Seneca</t>
  </si>
  <si>
    <t>Educatore per sportello socio educativo</t>
  </si>
  <si>
    <t>Ausiliario per pulizie</t>
  </si>
  <si>
    <t>Facilitatore di comunità</t>
  </si>
  <si>
    <t>037_Fattura Acer Bologna n.  255389/2034  del 16/09/2024 - Canone Settembre 2024</t>
  </si>
  <si>
    <t>038_Fattura Acer Bologna n.278127/2034  del 16/10/2024 - Canone Ottobre 2024</t>
  </si>
  <si>
    <t xml:space="preserve">SEN006_Busta paga Antonello Mazzuca n.114926 del 30/09/2024 </t>
  </si>
  <si>
    <t xml:space="preserve">SEN007 Busta paga Antonello Mazzuca n. 115810 del 31/10/2024 </t>
  </si>
  <si>
    <t xml:space="preserve">SEN008_Busta paga Antonello Mazzuca n.166644 del 30/11/2024 </t>
  </si>
  <si>
    <t xml:space="preserve">SEN 009_Busta paga Antonello Mazzuca n.117994 del 31/12/2024 </t>
  </si>
  <si>
    <t>SEN 010_Busta paga antonello Mazzuca  n.119021 del 31/01/2025</t>
  </si>
  <si>
    <t xml:space="preserve">SEN011_Busta paga Antonello Mazzuca n.120051 del 28/02/2025 </t>
  </si>
  <si>
    <t xml:space="preserve">SEN012_Busta paga Antonello Mazzuca  n.121026 del 31/03/2025 </t>
  </si>
  <si>
    <t>Materiali (didattici /pulizia)</t>
  </si>
  <si>
    <t>Sub totale A</t>
  </si>
  <si>
    <t>Espero valutazione d'impatto sociale - Fondazione PIN</t>
  </si>
  <si>
    <t>Sub totale D</t>
  </si>
  <si>
    <t>Sub totale C</t>
  </si>
  <si>
    <t>C)Spese di promozione e divulgazione materiale di comunicazione</t>
  </si>
  <si>
    <t>048_Busta paga Elena Pizzoli  n. 001156859 del 30/04/2025</t>
  </si>
  <si>
    <t>049_Busta paga Elena Pizzoli n. 001165568 del 31/05/2025</t>
  </si>
  <si>
    <t>050_Busta paga Elena Pizzoli n. 001174769 del 30/06/2025</t>
  </si>
  <si>
    <t>051_Busta paga Elena Pizzoli n. 001183265 del 31/07/2025</t>
  </si>
  <si>
    <t>053_Busta paga Caterina Segata n. 001166481 del 31/05/2025</t>
  </si>
  <si>
    <t>054_Busta paga Caterina Segata n. 001184105 del 31/07/2025</t>
  </si>
  <si>
    <t>055_Busta paga Annarita Musacchio n. 001156027 del 30/04/2025</t>
  </si>
  <si>
    <t>056_Busta paga Annarita Musacchio n. 001182506 del 31/07/2025</t>
  </si>
  <si>
    <t>058_Busta paga Cesare Curione n. 001152643 del 30/04/2025</t>
  </si>
  <si>
    <t>059_Busta paga Cesare Curione n. 001161361 del 31/05/2025</t>
  </si>
  <si>
    <t>060_Busta paga Cesare Curione n. 001170243 del 30/06/2025</t>
  </si>
  <si>
    <t>061_Busta paga Manuela Deledda n. 001152935 del 30/04/2025</t>
  </si>
  <si>
    <t>062_Busta paga Manuela Deledda n. 001161646 del 31/05/2025</t>
  </si>
  <si>
    <t>063_Busta paga Manuela Deledda n. 001170557 del 30/06/2025</t>
  </si>
  <si>
    <t>064_Busta paga Noura Belgmini n. 001150892 del 30/04/2025</t>
  </si>
  <si>
    <t>065_Busta paga Noura Belgmini n. 001159633 del 31/05/2025</t>
  </si>
  <si>
    <t>066_Busta paga Noura Belgmini n. 001168374 del 30/06/2025</t>
  </si>
  <si>
    <t>ARCO_001 Busta paga Sara Zullo n. 9380 del 31/05/2025</t>
  </si>
  <si>
    <t>ARCO_002 Busta pasa Sara Zullo n. 9469 del 30/06/2025</t>
  </si>
  <si>
    <t>ARCO_003 Busta paga Sara Zullo n. 9554 del 31/07/2025</t>
  </si>
  <si>
    <t>ARCO_004 Busta paga Sara Zullo n. 9696 del 31/08/2025</t>
  </si>
  <si>
    <t>067_Fattura Acer Bologna n. 305271 del 15/11/2024 - Canone Novembre 2024</t>
  </si>
  <si>
    <t>068_Fattura Acer Bologna n. 331697/2034 del 13/12/2024 - Canone Dicembre 2024</t>
  </si>
  <si>
    <t>069_Fattura Acer Bologna n. 018262/2034 del 16/01/2025 - Canone Gennaio 2025</t>
  </si>
  <si>
    <t>071_Fattura Acer Bologna n. 078108/2034 del 17/03/2025 - Canone Marzo 2025</t>
  </si>
  <si>
    <t>070_Fattura Acer Bologna n. 146184/2034 del 14/02/2025 - Canone Febbraio  2025</t>
  </si>
  <si>
    <t>072_Fattura Acer Bologna n. 100837/2034 del 15/04/2025 - Canone Aprile 2025</t>
  </si>
  <si>
    <t>073_Fattura Cibix srl n. A782 del 23/10/2025</t>
  </si>
  <si>
    <t>052_Busta paga Elena Pizzoli n. 001191138 del 31/08/2025</t>
  </si>
  <si>
    <t>SEN013 Busta paga Renzo Colucci n. 121953 del 30/04/2025</t>
  </si>
  <si>
    <t>SEN014 Busta paga Renzo Colucci n. 122934 del 31/05/2025</t>
  </si>
  <si>
    <t>SEN015 Busta paga Renzo Colucci n. 125179 del 31/07/2025</t>
  </si>
  <si>
    <t>057_Busta paga Annarita Musacchio n. 001190414 del 31/08/2025</t>
  </si>
  <si>
    <t>SEN016 Busta paga Alessandra Casini Ropa n. 122936 del 31/05/2025</t>
  </si>
  <si>
    <t>SEN017 Busta paga Alessandra Casini Ropa n. 125181 del 31/07/2025</t>
  </si>
  <si>
    <t>SEN019 Busta paga Antonello Mazzuca n. 121960 del 30/04/2025</t>
  </si>
  <si>
    <t>SEN020 Busta paga Antonello Mazzuca n. 122941 del 31/05/2025</t>
  </si>
  <si>
    <t>SEN021 Busta paga Antonello Mazzuca n. 124391 del 30/06/2025</t>
  </si>
  <si>
    <t>SEN022 Busta paga Antonello Mazzuca n. 125186 del 31/07/2025</t>
  </si>
  <si>
    <t>SEN023 Busta paga Antonello Mazzuca n. 12633 del 31/08/2025</t>
  </si>
  <si>
    <t>Esperto per laboratori genitori-ragazzi</t>
  </si>
  <si>
    <t>SEN018 Fattura Arianna Welisch n. 5 del 19/09/2025</t>
  </si>
  <si>
    <t>Esperto corso di italiano ragazzi/famiglie</t>
  </si>
  <si>
    <t>SEN024 nota Flaminia Ricci del 01/07/2025</t>
  </si>
  <si>
    <t>SEN025 nota Aurora Fazi del 24/06/2025</t>
  </si>
  <si>
    <t>Addetto marketing per attività di promozione</t>
  </si>
  <si>
    <t>074_Fattura Felsinea Ristorazione Srl n. 3393/2 del 31/03/2025</t>
  </si>
  <si>
    <t>075_Fattura Felsinea Ristorazione srl n.5072/2 del 30/04/2025</t>
  </si>
  <si>
    <t>076-Fattura Felsinea Ristorazione srl n. 6722/2 del 31/05/2025</t>
  </si>
  <si>
    <t>076_Fattura Felsinea Ristorazione srl n. 1667$/2 del 30/11/2024</t>
  </si>
  <si>
    <t>077_Fattura Felsinea Ristorazione srl n. 1874/2 del 28/02/2025</t>
  </si>
  <si>
    <t>078_Fattura Felsinea Ristorazione srl n. 18469 del 31/12/2024</t>
  </si>
  <si>
    <t>079/fattura Felsinea Ristorazione srl n. 275/2 del 31/01/2025</t>
  </si>
  <si>
    <t>080_Busta Paga Maria Cristina De Angelis n. 00109542 del 31/10/2025</t>
  </si>
  <si>
    <t>081_nusta paga Maria Cristina De Angelis n. 001152788 del 30/04/2025</t>
  </si>
  <si>
    <t>TOTALE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</si>
</sst>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€&quot;\ * #,##0.00_-;\-&quot;€&quot;\ * #,##0.00_-;_-&quot;€&quot;\ * &quot;-&quot;??_-;_-@_-"/>
    <numFmt numFmtId="165" formatCode="&quot;€&quot;\ #,##0.00"/>
  </numFmts>
  <fonts count="6" x14ac:knownFonts="1">
    <font>
      <sz val="11"/>
      <color theme="1"/>
      <name val="Calibri"/>
      <family val="2"/>
      <scheme val="minor"/>
    </font>
    <font>
      <sz val="9"/>
      <color indexed="8"/>
      <name val="Tahoma"/>
      <family val="2"/>
    </font>
    <font>
      <b/>
      <sz val="9"/>
      <color indexed="8"/>
      <name val="Tahoma"/>
      <family val="2"/>
    </font>
    <font>
      <b/>
      <sz val="11"/>
      <color theme="1"/>
      <name val="Calibri"/>
      <family val="2"/>
      <scheme val="minor"/>
    </font>
    <font>
      <b/>
      <sz val="16"/>
      <color indexed="8"/>
      <name val="Tahoma"/>
      <family val="2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65" fontId="1" fillId="0" borderId="0" xfId="0" applyNumberFormat="1" applyFont="1" applyAlignment="1" applyProtection="1">
      <alignment horizontal="right" vertical="center" wrapText="1"/>
      <protection locked="0"/>
    </xf>
    <xf numFmtId="165" fontId="2" fillId="0" borderId="1" xfId="0" applyNumberFormat="1" applyFont="1" applyBorder="1" applyAlignment="1" applyProtection="1">
      <alignment horizontal="right" vertical="center" wrapText="1"/>
      <protection locked="0"/>
    </xf>
    <xf numFmtId="165" fontId="4" fillId="0" borderId="1" xfId="0" applyNumberFormat="1" applyFont="1" applyBorder="1" applyAlignment="1" applyProtection="1">
      <alignment horizontal="right" vertical="center" wrapText="1"/>
      <protection locked="0"/>
    </xf>
    <xf numFmtId="165" fontId="2" fillId="0" borderId="0" xfId="0" applyNumberFormat="1" applyFont="1" applyAlignment="1" applyProtection="1">
      <alignment horizontal="right" vertical="center" wrapText="1"/>
      <protection locked="0"/>
    </xf>
    <xf numFmtId="164" fontId="3" fillId="0" borderId="0" xfId="0" applyNumberFormat="1" applyFont="1"/>
    <xf numFmtId="164" fontId="0" fillId="0" borderId="0" xfId="0" applyNumberFormat="1"/>
    <xf numFmtId="0" fontId="3" fillId="0" borderId="0" xfId="0" applyFont="1"/>
    <xf numFmtId="14" fontId="3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171"/>
  <sheetViews>
    <sheetView tabSelected="1" zoomScale="70" zoomScaleNormal="70" workbookViewId="0">
      <selection activeCell="H17" sqref="H17"/>
    </sheetView>
  </sheetViews>
  <sheetFormatPr defaultColWidth="8.77734375" defaultRowHeight="14.4" x14ac:dyDescent="0.3"/>
  <cols>
    <col min="1" max="1" width="64.44140625" bestFit="1" customWidth="1"/>
    <col min="2" max="2" width="12.77734375" bestFit="1" customWidth="1"/>
    <col min="6" max="6" width="73.21875" customWidth="1"/>
    <col min="7" max="7" width="19.5546875" bestFit="1" customWidth="1"/>
    <col min="8" max="8" width="31.77734375" bestFit="1" customWidth="1"/>
    <col min="9" max="9" width="9.77734375" bestFit="1" customWidth="1"/>
    <col min="10" max="10" width="12.77734375" bestFit="1" customWidth="1"/>
    <col min="12" max="12" width="13.5546875" bestFit="1" customWidth="1"/>
    <col min="14" max="14" width="13.5546875" bestFit="1" customWidth="1"/>
  </cols>
  <sheetData>
    <row r="2" spans="1:8" ht="20.399999999999999" x14ac:dyDescent="0.3">
      <c r="A2" s="3" t="s">
        <v>0</v>
      </c>
    </row>
    <row r="3" spans="1:8" x14ac:dyDescent="0.3">
      <c r="A3" s="1"/>
      <c r="G3" s="7" t="s">
        <v>3</v>
      </c>
      <c r="H3" s="8">
        <v>45900</v>
      </c>
    </row>
    <row r="4" spans="1:8" x14ac:dyDescent="0.3">
      <c r="A4" s="7" t="s">
        <v>2</v>
      </c>
    </row>
    <row r="5" spans="1:8" x14ac:dyDescent="0.3">
      <c r="B5" t="s">
        <v>19</v>
      </c>
      <c r="H5" s="6">
        <f>30*20.31</f>
        <v>609.29999999999995</v>
      </c>
    </row>
    <row r="6" spans="1:8" x14ac:dyDescent="0.3">
      <c r="B6" t="s">
        <v>20</v>
      </c>
      <c r="H6" s="6">
        <f>20*20.69</f>
        <v>413.8</v>
      </c>
    </row>
    <row r="7" spans="1:8" x14ac:dyDescent="0.3">
      <c r="B7" t="s">
        <v>28</v>
      </c>
      <c r="H7" s="6">
        <f>20*20.69</f>
        <v>413.8</v>
      </c>
    </row>
    <row r="8" spans="1:8" x14ac:dyDescent="0.3">
      <c r="B8" t="s">
        <v>21</v>
      </c>
      <c r="H8" s="6">
        <f>20*21.52</f>
        <v>430.4</v>
      </c>
    </row>
    <row r="9" spans="1:8" x14ac:dyDescent="0.3">
      <c r="B9" t="s">
        <v>22</v>
      </c>
      <c r="H9" s="6">
        <f>20*21.52</f>
        <v>430.4</v>
      </c>
    </row>
    <row r="10" spans="1:8" x14ac:dyDescent="0.3">
      <c r="B10" t="s">
        <v>24</v>
      </c>
      <c r="H10" s="6">
        <f>20*21.52</f>
        <v>430.4</v>
      </c>
    </row>
    <row r="11" spans="1:8" x14ac:dyDescent="0.3">
      <c r="B11" t="s">
        <v>23</v>
      </c>
      <c r="H11" s="6">
        <f>20*21.52</f>
        <v>430.4</v>
      </c>
    </row>
    <row r="12" spans="1:8" x14ac:dyDescent="0.3">
      <c r="B12" t="s">
        <v>81</v>
      </c>
      <c r="H12" s="6">
        <f>12*21.52</f>
        <v>258.24</v>
      </c>
    </row>
    <row r="13" spans="1:8" x14ac:dyDescent="0.3">
      <c r="B13" t="s">
        <v>82</v>
      </c>
      <c r="H13" s="6">
        <f>12*21.52</f>
        <v>258.24</v>
      </c>
    </row>
    <row r="14" spans="1:8" x14ac:dyDescent="0.3">
      <c r="B14" t="s">
        <v>83</v>
      </c>
      <c r="H14" s="6">
        <f>9*21.52</f>
        <v>193.68</v>
      </c>
    </row>
    <row r="15" spans="1:8" x14ac:dyDescent="0.3">
      <c r="B15" t="s">
        <v>84</v>
      </c>
      <c r="H15" s="6">
        <f>8*21.52</f>
        <v>172.16</v>
      </c>
    </row>
    <row r="16" spans="1:8" x14ac:dyDescent="0.3">
      <c r="B16" t="s">
        <v>109</v>
      </c>
      <c r="H16" s="6">
        <f>8*21.52</f>
        <v>172.16</v>
      </c>
    </row>
    <row r="17" spans="1:14" x14ac:dyDescent="0.3">
      <c r="H17" s="6"/>
    </row>
    <row r="18" spans="1:14" x14ac:dyDescent="0.3">
      <c r="G18" s="5">
        <v>4200</v>
      </c>
      <c r="H18" s="5">
        <f>SUM(H5:H16)</f>
        <v>4212.9799999999996</v>
      </c>
      <c r="J18" s="6"/>
      <c r="N18" s="6"/>
    </row>
    <row r="19" spans="1:14" x14ac:dyDescent="0.3">
      <c r="A19" s="7" t="s">
        <v>4</v>
      </c>
      <c r="G19" s="7"/>
      <c r="H19" s="7"/>
    </row>
    <row r="20" spans="1:14" x14ac:dyDescent="0.3">
      <c r="A20" s="1"/>
      <c r="B20" t="s">
        <v>25</v>
      </c>
      <c r="G20" s="7"/>
      <c r="H20" s="6">
        <f>20*40</f>
        <v>800</v>
      </c>
    </row>
    <row r="21" spans="1:14" x14ac:dyDescent="0.3">
      <c r="A21" s="1"/>
      <c r="B21" t="s">
        <v>26</v>
      </c>
      <c r="G21" s="7"/>
      <c r="H21" s="6">
        <f>20*40</f>
        <v>800</v>
      </c>
    </row>
    <row r="22" spans="1:14" x14ac:dyDescent="0.3">
      <c r="A22" s="1"/>
      <c r="B22" t="s">
        <v>27</v>
      </c>
      <c r="G22" s="7"/>
      <c r="H22" s="6">
        <f>20*40</f>
        <v>800</v>
      </c>
    </row>
    <row r="23" spans="1:14" x14ac:dyDescent="0.3">
      <c r="A23" s="1"/>
      <c r="B23" t="s">
        <v>85</v>
      </c>
      <c r="G23" s="7"/>
      <c r="H23" s="6">
        <f>20*40</f>
        <v>800</v>
      </c>
    </row>
    <row r="24" spans="1:14" x14ac:dyDescent="0.3">
      <c r="A24" s="1"/>
      <c r="B24" t="s">
        <v>86</v>
      </c>
      <c r="G24" s="7"/>
      <c r="H24" s="6">
        <f>20*40</f>
        <v>800</v>
      </c>
    </row>
    <row r="25" spans="1:14" x14ac:dyDescent="0.3">
      <c r="A25" s="1"/>
      <c r="G25" s="7"/>
      <c r="H25" s="6"/>
    </row>
    <row r="26" spans="1:14" x14ac:dyDescent="0.3">
      <c r="A26" s="1"/>
      <c r="G26" s="5">
        <v>4000</v>
      </c>
      <c r="H26" s="5">
        <f>SUM(H20:H24)</f>
        <v>4000</v>
      </c>
    </row>
    <row r="27" spans="1:14" x14ac:dyDescent="0.3">
      <c r="A27" s="7" t="s">
        <v>18</v>
      </c>
      <c r="G27" s="7"/>
      <c r="H27" s="6"/>
    </row>
    <row r="28" spans="1:14" x14ac:dyDescent="0.3">
      <c r="A28" s="1"/>
      <c r="B28" t="s">
        <v>29</v>
      </c>
      <c r="G28" s="7"/>
      <c r="H28" s="6">
        <f>10*38.83</f>
        <v>388.29999999999995</v>
      </c>
    </row>
    <row r="29" spans="1:14" x14ac:dyDescent="0.3">
      <c r="A29" s="1"/>
      <c r="B29" t="s">
        <v>30</v>
      </c>
      <c r="G29" s="7"/>
      <c r="H29" s="6">
        <f>15*38.83</f>
        <v>582.44999999999993</v>
      </c>
    </row>
    <row r="30" spans="1:14" x14ac:dyDescent="0.3">
      <c r="A30" s="1"/>
      <c r="B30" t="s">
        <v>31</v>
      </c>
      <c r="G30" s="7"/>
      <c r="H30" s="6">
        <f>15*38.83</f>
        <v>582.44999999999993</v>
      </c>
    </row>
    <row r="31" spans="1:14" x14ac:dyDescent="0.3">
      <c r="A31" s="1"/>
      <c r="B31" t="s">
        <v>110</v>
      </c>
      <c r="G31" s="7"/>
      <c r="H31" s="6">
        <f>8*38.83</f>
        <v>310.64</v>
      </c>
    </row>
    <row r="32" spans="1:14" x14ac:dyDescent="0.3">
      <c r="A32" s="1"/>
      <c r="B32" t="s">
        <v>111</v>
      </c>
      <c r="G32" s="7"/>
      <c r="H32" s="6">
        <f>8*38.83</f>
        <v>310.64</v>
      </c>
    </row>
    <row r="33" spans="1:10" x14ac:dyDescent="0.3">
      <c r="A33" s="1"/>
      <c r="B33" t="s">
        <v>112</v>
      </c>
      <c r="G33" s="7"/>
      <c r="H33" s="6">
        <f>5.5*38.83</f>
        <v>213.565</v>
      </c>
    </row>
    <row r="34" spans="1:10" x14ac:dyDescent="0.3">
      <c r="A34" s="1"/>
      <c r="G34" s="5">
        <v>2400</v>
      </c>
      <c r="H34" s="5">
        <f>SUM(H28:H33)</f>
        <v>2388.0449999999996</v>
      </c>
    </row>
    <row r="35" spans="1:10" x14ac:dyDescent="0.3">
      <c r="A35" s="1"/>
      <c r="G35" s="7"/>
      <c r="H35" s="6"/>
    </row>
    <row r="36" spans="1:10" x14ac:dyDescent="0.3">
      <c r="A36" s="9" t="s">
        <v>61</v>
      </c>
      <c r="G36" s="7"/>
      <c r="H36" s="7"/>
    </row>
    <row r="37" spans="1:10" x14ac:dyDescent="0.3">
      <c r="A37" s="1"/>
      <c r="B37" t="s">
        <v>32</v>
      </c>
      <c r="G37" s="7"/>
      <c r="H37" s="6">
        <f>12*23.42</f>
        <v>281.04000000000002</v>
      </c>
    </row>
    <row r="38" spans="1:10" x14ac:dyDescent="0.3">
      <c r="A38" s="1"/>
      <c r="B38" t="s">
        <v>33</v>
      </c>
      <c r="G38" s="7"/>
      <c r="H38" s="6">
        <f>20*24.13</f>
        <v>482.59999999999997</v>
      </c>
    </row>
    <row r="39" spans="1:10" x14ac:dyDescent="0.3">
      <c r="B39" t="s">
        <v>34</v>
      </c>
      <c r="H39" s="6">
        <f>35*24.17</f>
        <v>845.95</v>
      </c>
    </row>
    <row r="40" spans="1:10" x14ac:dyDescent="0.3">
      <c r="B40" t="s">
        <v>87</v>
      </c>
      <c r="H40" s="6">
        <f>10*24.17</f>
        <v>241.70000000000002</v>
      </c>
    </row>
    <row r="41" spans="1:10" x14ac:dyDescent="0.3">
      <c r="B41" t="s">
        <v>88</v>
      </c>
      <c r="H41" s="6">
        <f>5*24.17</f>
        <v>120.85000000000001</v>
      </c>
    </row>
    <row r="42" spans="1:10" x14ac:dyDescent="0.3">
      <c r="B42" t="s">
        <v>113</v>
      </c>
      <c r="H42" s="6">
        <f>5*24.17</f>
        <v>120.85000000000001</v>
      </c>
    </row>
    <row r="43" spans="1:10" x14ac:dyDescent="0.3">
      <c r="G43" s="5">
        <v>2100</v>
      </c>
      <c r="H43" s="5">
        <f>SUM(H37:H42)</f>
        <v>2092.9900000000002</v>
      </c>
      <c r="J43" s="6"/>
    </row>
    <row r="44" spans="1:10" x14ac:dyDescent="0.3">
      <c r="G44" s="5"/>
      <c r="H44" s="5"/>
    </row>
    <row r="45" spans="1:10" x14ac:dyDescent="0.3">
      <c r="A45" s="7" t="s">
        <v>62</v>
      </c>
      <c r="G45" s="5"/>
      <c r="H45" s="5"/>
    </row>
    <row r="46" spans="1:10" x14ac:dyDescent="0.3">
      <c r="A46" s="7"/>
      <c r="B46" t="s">
        <v>35</v>
      </c>
      <c r="G46" s="5"/>
      <c r="H46" s="6">
        <f>3*28.44</f>
        <v>85.320000000000007</v>
      </c>
    </row>
    <row r="47" spans="1:10" x14ac:dyDescent="0.3">
      <c r="B47" t="s">
        <v>36</v>
      </c>
      <c r="G47" s="5"/>
      <c r="H47" s="6">
        <f>3*28.44</f>
        <v>85.320000000000007</v>
      </c>
    </row>
    <row r="48" spans="1:10" x14ac:dyDescent="0.3">
      <c r="B48" t="s">
        <v>114</v>
      </c>
      <c r="G48" s="5"/>
      <c r="H48" s="6">
        <f>5*28.44</f>
        <v>142.20000000000002</v>
      </c>
    </row>
    <row r="49" spans="1:12" x14ac:dyDescent="0.3">
      <c r="B49" t="s">
        <v>115</v>
      </c>
      <c r="G49" s="5"/>
      <c r="H49" s="6">
        <f>7*28.44-6.77</f>
        <v>192.31</v>
      </c>
    </row>
    <row r="50" spans="1:12" x14ac:dyDescent="0.3">
      <c r="G50" s="5">
        <v>420</v>
      </c>
      <c r="H50" s="5">
        <f>SUM(H46:H49)</f>
        <v>505.15000000000003</v>
      </c>
      <c r="J50" s="6"/>
      <c r="L50" s="6"/>
    </row>
    <row r="51" spans="1:12" x14ac:dyDescent="0.3">
      <c r="G51" s="5"/>
      <c r="H51" s="5"/>
    </row>
    <row r="52" spans="1:12" x14ac:dyDescent="0.3">
      <c r="A52" s="7" t="s">
        <v>5</v>
      </c>
    </row>
    <row r="53" spans="1:12" x14ac:dyDescent="0.3">
      <c r="B53" t="s">
        <v>37</v>
      </c>
      <c r="H53" s="6">
        <f>42.3*19.64</f>
        <v>830.77199999999993</v>
      </c>
    </row>
    <row r="54" spans="1:12" x14ac:dyDescent="0.3">
      <c r="B54" t="s">
        <v>38</v>
      </c>
      <c r="H54" s="6">
        <f>37.3*18.49</f>
        <v>689.67699999999991</v>
      </c>
    </row>
    <row r="55" spans="1:12" x14ac:dyDescent="0.3">
      <c r="G55" s="5">
        <v>1520</v>
      </c>
      <c r="H55" s="5">
        <f>SUM(H53:H54)</f>
        <v>1520.4489999999998</v>
      </c>
    </row>
    <row r="56" spans="1:12" x14ac:dyDescent="0.3">
      <c r="A56" s="7" t="s">
        <v>6</v>
      </c>
      <c r="G56" s="5"/>
      <c r="H56" s="5"/>
    </row>
    <row r="57" spans="1:12" x14ac:dyDescent="0.3">
      <c r="A57" s="7"/>
    </row>
    <row r="58" spans="1:12" x14ac:dyDescent="0.3">
      <c r="B58" t="s">
        <v>39</v>
      </c>
      <c r="H58" s="6">
        <f>21*18.25</f>
        <v>383.25</v>
      </c>
    </row>
    <row r="59" spans="1:12" x14ac:dyDescent="0.3">
      <c r="B59" t="s">
        <v>40</v>
      </c>
      <c r="H59" s="6">
        <f>40*18.84</f>
        <v>753.6</v>
      </c>
    </row>
    <row r="60" spans="1:12" x14ac:dyDescent="0.3">
      <c r="B60" t="s">
        <v>41</v>
      </c>
      <c r="H60" s="6">
        <f>18.84*43</f>
        <v>810.12</v>
      </c>
    </row>
    <row r="61" spans="1:12" x14ac:dyDescent="0.3">
      <c r="B61" t="s">
        <v>44</v>
      </c>
      <c r="H61" s="6">
        <f>18.84*36</f>
        <v>678.24</v>
      </c>
    </row>
    <row r="62" spans="1:12" x14ac:dyDescent="0.3">
      <c r="B62" t="s">
        <v>42</v>
      </c>
      <c r="H62" s="6">
        <f>34*19.6</f>
        <v>666.40000000000009</v>
      </c>
    </row>
    <row r="63" spans="1:12" x14ac:dyDescent="0.3">
      <c r="B63" t="s">
        <v>43</v>
      </c>
      <c r="H63" s="6">
        <f>27*19.6</f>
        <v>529.20000000000005</v>
      </c>
    </row>
    <row r="64" spans="1:12" x14ac:dyDescent="0.3">
      <c r="B64" t="s">
        <v>45</v>
      </c>
      <c r="H64" s="6">
        <f>16*20.82</f>
        <v>333.12</v>
      </c>
    </row>
    <row r="65" spans="1:10" x14ac:dyDescent="0.3">
      <c r="B65" t="s">
        <v>46</v>
      </c>
      <c r="H65" s="6">
        <f>46.3*18.84</f>
        <v>872.29199999999992</v>
      </c>
    </row>
    <row r="66" spans="1:10" x14ac:dyDescent="0.3">
      <c r="B66" t="s">
        <v>89</v>
      </c>
      <c r="H66" s="6">
        <f>45.3*18.84</f>
        <v>853.45199999999988</v>
      </c>
    </row>
    <row r="67" spans="1:10" x14ac:dyDescent="0.3">
      <c r="B67" t="s">
        <v>90</v>
      </c>
      <c r="H67" s="6">
        <f>55.3*18.84</f>
        <v>1041.8519999999999</v>
      </c>
    </row>
    <row r="68" spans="1:10" x14ac:dyDescent="0.3">
      <c r="B68" t="s">
        <v>91</v>
      </c>
      <c r="H68" s="6">
        <f>20*18.84</f>
        <v>376.8</v>
      </c>
    </row>
    <row r="69" spans="1:10" x14ac:dyDescent="0.3">
      <c r="G69" s="5">
        <v>7296</v>
      </c>
      <c r="H69" s="5">
        <f>SUM(H58:H68)</f>
        <v>7298.326</v>
      </c>
      <c r="J69" s="6"/>
    </row>
    <row r="70" spans="1:10" x14ac:dyDescent="0.3">
      <c r="A70" s="7" t="s">
        <v>63</v>
      </c>
      <c r="G70" s="5"/>
      <c r="H70" s="5"/>
    </row>
    <row r="71" spans="1:10" x14ac:dyDescent="0.3">
      <c r="A71" s="7"/>
      <c r="G71" s="5"/>
      <c r="H71" s="5"/>
    </row>
    <row r="72" spans="1:10" x14ac:dyDescent="0.3">
      <c r="B72" t="s">
        <v>47</v>
      </c>
      <c r="H72" s="6">
        <f>9*19.64</f>
        <v>176.76</v>
      </c>
    </row>
    <row r="73" spans="1:10" x14ac:dyDescent="0.3">
      <c r="B73" t="s">
        <v>48</v>
      </c>
      <c r="H73" s="6">
        <f>15*20.02</f>
        <v>300.3</v>
      </c>
    </row>
    <row r="74" spans="1:10" x14ac:dyDescent="0.3">
      <c r="B74" t="s">
        <v>49</v>
      </c>
      <c r="H74" s="6">
        <f>14*20.02</f>
        <v>280.27999999999997</v>
      </c>
    </row>
    <row r="75" spans="1:10" x14ac:dyDescent="0.3">
      <c r="B75" t="s">
        <v>50</v>
      </c>
      <c r="H75" s="6">
        <f>10*20.02</f>
        <v>200.2</v>
      </c>
    </row>
    <row r="76" spans="1:10" x14ac:dyDescent="0.3">
      <c r="B76" t="s">
        <v>51</v>
      </c>
      <c r="H76" s="6">
        <f>12*20.82</f>
        <v>249.84</v>
      </c>
    </row>
    <row r="77" spans="1:10" x14ac:dyDescent="0.3">
      <c r="B77" t="s">
        <v>52</v>
      </c>
      <c r="H77" s="6">
        <f>12*20.82</f>
        <v>249.84</v>
      </c>
    </row>
    <row r="78" spans="1:10" x14ac:dyDescent="0.3">
      <c r="B78" t="s">
        <v>53</v>
      </c>
      <c r="H78" s="6">
        <f>14*20.82</f>
        <v>291.48</v>
      </c>
    </row>
    <row r="79" spans="1:10" x14ac:dyDescent="0.3">
      <c r="B79" t="s">
        <v>92</v>
      </c>
      <c r="H79" s="6">
        <f>11*20.82</f>
        <v>229.02</v>
      </c>
    </row>
    <row r="80" spans="1:10" x14ac:dyDescent="0.3">
      <c r="B80" t="s">
        <v>93</v>
      </c>
      <c r="H80" s="6">
        <f>8*20.62</f>
        <v>164.96</v>
      </c>
    </row>
    <row r="81" spans="1:9" x14ac:dyDescent="0.3">
      <c r="B81" t="s">
        <v>94</v>
      </c>
      <c r="H81" s="6">
        <f>7*20.82</f>
        <v>145.74</v>
      </c>
    </row>
    <row r="82" spans="1:9" x14ac:dyDescent="0.3">
      <c r="G82" s="5">
        <v>2280</v>
      </c>
      <c r="H82" s="5">
        <f>SUM(H72:H81)</f>
        <v>2288.42</v>
      </c>
      <c r="I82" s="6"/>
    </row>
    <row r="83" spans="1:9" x14ac:dyDescent="0.3">
      <c r="H83" s="6"/>
    </row>
    <row r="84" spans="1:9" x14ac:dyDescent="0.3">
      <c r="A84" s="7" t="s">
        <v>64</v>
      </c>
    </row>
    <row r="85" spans="1:9" x14ac:dyDescent="0.3">
      <c r="A85" s="7"/>
      <c r="B85" t="s">
        <v>54</v>
      </c>
      <c r="H85" s="6">
        <f>20*15.9</f>
        <v>318</v>
      </c>
    </row>
    <row r="86" spans="1:9" x14ac:dyDescent="0.3">
      <c r="B86" t="s">
        <v>55</v>
      </c>
      <c r="H86" s="6">
        <f>20*16.22</f>
        <v>324.39999999999998</v>
      </c>
    </row>
    <row r="87" spans="1:9" x14ac:dyDescent="0.3">
      <c r="B87" t="s">
        <v>56</v>
      </c>
      <c r="H87" s="6">
        <f>20*16.22</f>
        <v>324.39999999999998</v>
      </c>
    </row>
    <row r="88" spans="1:9" x14ac:dyDescent="0.3">
      <c r="B88" t="s">
        <v>57</v>
      </c>
      <c r="H88" s="6">
        <f>20*16.22</f>
        <v>324.39999999999998</v>
      </c>
    </row>
    <row r="89" spans="1:9" x14ac:dyDescent="0.3">
      <c r="B89" t="s">
        <v>59</v>
      </c>
      <c r="H89" s="6">
        <f>20*16.87</f>
        <v>337.40000000000003</v>
      </c>
    </row>
    <row r="90" spans="1:9" x14ac:dyDescent="0.3">
      <c r="B90" t="s">
        <v>58</v>
      </c>
      <c r="H90" s="6">
        <f>20*16.87</f>
        <v>337.40000000000003</v>
      </c>
    </row>
    <row r="91" spans="1:9" x14ac:dyDescent="0.3">
      <c r="B91" t="s">
        <v>60</v>
      </c>
      <c r="H91" s="6">
        <f>20*16.87</f>
        <v>337.40000000000003</v>
      </c>
    </row>
    <row r="92" spans="1:9" x14ac:dyDescent="0.3">
      <c r="B92" t="s">
        <v>95</v>
      </c>
      <c r="H92" s="6">
        <f t="shared" ref="H92" si="0">20*16.87</f>
        <v>337.40000000000003</v>
      </c>
    </row>
    <row r="93" spans="1:9" x14ac:dyDescent="0.3">
      <c r="B93" t="s">
        <v>96</v>
      </c>
      <c r="H93" s="6">
        <f>20*16.87</f>
        <v>337.40000000000003</v>
      </c>
    </row>
    <row r="94" spans="1:9" x14ac:dyDescent="0.3">
      <c r="B94" t="s">
        <v>97</v>
      </c>
      <c r="H94" s="6">
        <f>13*16.87</f>
        <v>219.31</v>
      </c>
    </row>
    <row r="95" spans="1:9" x14ac:dyDescent="0.3">
      <c r="G95" s="5">
        <v>3200</v>
      </c>
      <c r="H95" s="5">
        <f>SUM(H85:H94)</f>
        <v>3197.51</v>
      </c>
    </row>
    <row r="96" spans="1:9" x14ac:dyDescent="0.3">
      <c r="A96" s="7" t="s">
        <v>65</v>
      </c>
      <c r="B96" t="s">
        <v>68</v>
      </c>
      <c r="G96" s="5"/>
      <c r="H96" s="6">
        <f>23*22.92</f>
        <v>527.16000000000008</v>
      </c>
    </row>
    <row r="97" spans="1:8" x14ac:dyDescent="0.3">
      <c r="B97" t="s">
        <v>69</v>
      </c>
      <c r="G97" s="5"/>
      <c r="H97" s="6">
        <f>21*22.92</f>
        <v>481.32000000000005</v>
      </c>
    </row>
    <row r="98" spans="1:8" x14ac:dyDescent="0.3">
      <c r="B98" t="s">
        <v>70</v>
      </c>
      <c r="G98" s="5"/>
      <c r="H98" s="6">
        <f>20*22.92</f>
        <v>458.40000000000003</v>
      </c>
    </row>
    <row r="99" spans="1:8" x14ac:dyDescent="0.3">
      <c r="B99" t="s">
        <v>71</v>
      </c>
      <c r="H99" s="6">
        <f>24*22.92</f>
        <v>550.08000000000004</v>
      </c>
    </row>
    <row r="100" spans="1:8" x14ac:dyDescent="0.3">
      <c r="B100" t="s">
        <v>72</v>
      </c>
      <c r="H100" s="6">
        <f>27*22.92</f>
        <v>618.84</v>
      </c>
    </row>
    <row r="101" spans="1:8" x14ac:dyDescent="0.3">
      <c r="B101" t="s">
        <v>73</v>
      </c>
      <c r="H101" s="6">
        <f>27*22.92</f>
        <v>618.84</v>
      </c>
    </row>
    <row r="102" spans="1:8" x14ac:dyDescent="0.3">
      <c r="B102" t="s">
        <v>74</v>
      </c>
      <c r="H102" s="6">
        <f>27*22.92</f>
        <v>618.84</v>
      </c>
    </row>
    <row r="103" spans="1:8" x14ac:dyDescent="0.3">
      <c r="B103" t="s">
        <v>116</v>
      </c>
      <c r="G103" s="5"/>
      <c r="H103" s="6">
        <f>30*22.92</f>
        <v>687.6</v>
      </c>
    </row>
    <row r="104" spans="1:8" x14ac:dyDescent="0.3">
      <c r="B104" t="s">
        <v>117</v>
      </c>
      <c r="G104" s="5"/>
      <c r="H104" s="6">
        <f>28*22.92</f>
        <v>641.76</v>
      </c>
    </row>
    <row r="105" spans="1:8" x14ac:dyDescent="0.3">
      <c r="B105" t="s">
        <v>118</v>
      </c>
      <c r="G105" s="5"/>
      <c r="H105" s="6">
        <f>28*22.92</f>
        <v>641.76</v>
      </c>
    </row>
    <row r="106" spans="1:8" x14ac:dyDescent="0.3">
      <c r="B106" t="s">
        <v>119</v>
      </c>
      <c r="G106" s="5"/>
      <c r="H106" s="6">
        <f>9*22.92</f>
        <v>206.28000000000003</v>
      </c>
    </row>
    <row r="107" spans="1:8" x14ac:dyDescent="0.3">
      <c r="B107" t="s">
        <v>120</v>
      </c>
      <c r="G107" s="5"/>
      <c r="H107" s="6">
        <f>26*22.92</f>
        <v>595.92000000000007</v>
      </c>
    </row>
    <row r="108" spans="1:8" x14ac:dyDescent="0.3">
      <c r="G108" s="5">
        <v>6720</v>
      </c>
      <c r="H108" s="5">
        <f>SUM(H96:H107)</f>
        <v>6646.8000000000011</v>
      </c>
    </row>
    <row r="109" spans="1:8" x14ac:dyDescent="0.3">
      <c r="A109" s="7" t="s">
        <v>77</v>
      </c>
      <c r="G109" s="5"/>
      <c r="H109" s="5"/>
    </row>
    <row r="110" spans="1:8" x14ac:dyDescent="0.3">
      <c r="A110" s="7"/>
      <c r="B110" t="s">
        <v>98</v>
      </c>
      <c r="G110" s="5"/>
      <c r="H110" s="6">
        <v>750</v>
      </c>
    </row>
    <row r="111" spans="1:8" x14ac:dyDescent="0.3">
      <c r="A111" s="7"/>
      <c r="B111" t="s">
        <v>99</v>
      </c>
      <c r="G111" s="5"/>
      <c r="H111" s="6">
        <v>750</v>
      </c>
    </row>
    <row r="112" spans="1:8" x14ac:dyDescent="0.3">
      <c r="A112" s="7"/>
      <c r="B112" t="s">
        <v>100</v>
      </c>
      <c r="G112" s="5"/>
      <c r="H112" s="6">
        <v>750</v>
      </c>
    </row>
    <row r="113" spans="1:8" x14ac:dyDescent="0.3">
      <c r="A113" s="7"/>
      <c r="B113" t="s">
        <v>101</v>
      </c>
      <c r="G113" s="5"/>
      <c r="H113" s="6">
        <v>750</v>
      </c>
    </row>
    <row r="114" spans="1:8" x14ac:dyDescent="0.3">
      <c r="G114" s="5">
        <f>3000</f>
        <v>3000</v>
      </c>
      <c r="H114" s="5">
        <f>SUM(H110:H113)</f>
        <v>3000</v>
      </c>
    </row>
    <row r="115" spans="1:8" x14ac:dyDescent="0.3">
      <c r="G115" s="5"/>
      <c r="H115" s="5"/>
    </row>
    <row r="116" spans="1:8" x14ac:dyDescent="0.3">
      <c r="G116" s="5"/>
      <c r="H116" s="5"/>
    </row>
    <row r="117" spans="1:8" x14ac:dyDescent="0.3">
      <c r="A117" s="7" t="s">
        <v>121</v>
      </c>
      <c r="B117" t="s">
        <v>122</v>
      </c>
      <c r="G117" s="5"/>
      <c r="H117" s="6">
        <f>60*16</f>
        <v>960</v>
      </c>
    </row>
    <row r="118" spans="1:8" x14ac:dyDescent="0.3">
      <c r="A118" s="7" t="s">
        <v>123</v>
      </c>
      <c r="B118" t="s">
        <v>124</v>
      </c>
      <c r="H118" s="6">
        <v>600</v>
      </c>
    </row>
    <row r="119" spans="1:8" x14ac:dyDescent="0.3">
      <c r="A119" s="2"/>
      <c r="B119" t="s">
        <v>125</v>
      </c>
      <c r="H119" s="6">
        <v>600</v>
      </c>
    </row>
    <row r="120" spans="1:8" x14ac:dyDescent="0.3">
      <c r="A120" s="4"/>
      <c r="G120" s="5">
        <v>2160</v>
      </c>
      <c r="H120" s="5">
        <f>SUM(H117:H119)</f>
        <v>2160</v>
      </c>
    </row>
    <row r="121" spans="1:8" x14ac:dyDescent="0.3">
      <c r="A121" s="4"/>
    </row>
    <row r="122" spans="1:8" x14ac:dyDescent="0.3">
      <c r="A122" s="4"/>
    </row>
    <row r="123" spans="1:8" x14ac:dyDescent="0.3">
      <c r="A123" s="7" t="s">
        <v>76</v>
      </c>
      <c r="G123" s="5">
        <f>G18+G26+G34+G43+G50+G55+G69+G82+G95+G108+G114+G120</f>
        <v>39296</v>
      </c>
      <c r="H123" s="5">
        <f>H18+H26+H34+H43+H50+H55+H69+H82+H95+H108+H114+H120</f>
        <v>39310.670000000006</v>
      </c>
    </row>
    <row r="127" spans="1:8" ht="40.799999999999997" x14ac:dyDescent="0.3">
      <c r="A127" s="3" t="s">
        <v>80</v>
      </c>
      <c r="G127" s="5"/>
      <c r="H127" s="5"/>
    </row>
    <row r="128" spans="1:8" x14ac:dyDescent="0.3">
      <c r="A128" s="7" t="s">
        <v>126</v>
      </c>
      <c r="B128" t="s">
        <v>134</v>
      </c>
      <c r="H128">
        <f>10*23.56</f>
        <v>235.6</v>
      </c>
    </row>
    <row r="129" spans="1:8" x14ac:dyDescent="0.3">
      <c r="A129" s="7"/>
      <c r="B129" t="s">
        <v>135</v>
      </c>
      <c r="H129">
        <f>11.5*23.56</f>
        <v>270.94</v>
      </c>
    </row>
    <row r="130" spans="1:8" x14ac:dyDescent="0.3">
      <c r="A130" s="7"/>
    </row>
    <row r="131" spans="1:8" x14ac:dyDescent="0.3">
      <c r="A131" s="7" t="s">
        <v>79</v>
      </c>
      <c r="G131" s="5">
        <f>500</f>
        <v>500</v>
      </c>
      <c r="H131" s="5">
        <f>H128+H129</f>
        <v>506.53999999999996</v>
      </c>
    </row>
    <row r="133" spans="1:8" ht="40.799999999999997" x14ac:dyDescent="0.3">
      <c r="A133" s="3" t="s">
        <v>1</v>
      </c>
    </row>
    <row r="135" spans="1:8" x14ac:dyDescent="0.3">
      <c r="A135" s="7" t="s">
        <v>7</v>
      </c>
      <c r="B135" t="s">
        <v>66</v>
      </c>
      <c r="H135" s="6">
        <v>600</v>
      </c>
    </row>
    <row r="136" spans="1:8" x14ac:dyDescent="0.3">
      <c r="B136" t="s">
        <v>67</v>
      </c>
      <c r="H136" s="6">
        <v>600</v>
      </c>
    </row>
    <row r="137" spans="1:8" x14ac:dyDescent="0.3">
      <c r="B137" t="s">
        <v>102</v>
      </c>
      <c r="H137" s="6">
        <v>196.56</v>
      </c>
    </row>
    <row r="138" spans="1:8" x14ac:dyDescent="0.3">
      <c r="B138" t="s">
        <v>103</v>
      </c>
      <c r="G138" s="5"/>
      <c r="H138" s="6">
        <v>198.81</v>
      </c>
    </row>
    <row r="139" spans="1:8" x14ac:dyDescent="0.3">
      <c r="B139" t="s">
        <v>104</v>
      </c>
      <c r="G139" s="5"/>
      <c r="H139" s="6">
        <v>196.56</v>
      </c>
    </row>
    <row r="140" spans="1:8" x14ac:dyDescent="0.3">
      <c r="B140" t="s">
        <v>106</v>
      </c>
      <c r="G140" s="5"/>
      <c r="H140" s="6">
        <v>196.56</v>
      </c>
    </row>
    <row r="141" spans="1:8" x14ac:dyDescent="0.3">
      <c r="B141" t="s">
        <v>105</v>
      </c>
      <c r="G141" s="5"/>
      <c r="H141" s="6">
        <v>1088.54</v>
      </c>
    </row>
    <row r="142" spans="1:8" x14ac:dyDescent="0.3">
      <c r="B142" t="s">
        <v>107</v>
      </c>
      <c r="G142" s="5"/>
      <c r="H142" s="6">
        <v>1142.97</v>
      </c>
    </row>
    <row r="143" spans="1:8" x14ac:dyDescent="0.3">
      <c r="G143" s="5">
        <v>4000</v>
      </c>
      <c r="H143" s="5">
        <f>SUM(H135:H142)</f>
        <v>4220</v>
      </c>
    </row>
    <row r="145" spans="1:9" x14ac:dyDescent="0.3">
      <c r="A145" s="7" t="s">
        <v>75</v>
      </c>
      <c r="B145" t="s">
        <v>11</v>
      </c>
      <c r="H145" s="6">
        <v>242.13</v>
      </c>
    </row>
    <row r="146" spans="1:9" x14ac:dyDescent="0.3">
      <c r="B146" t="s">
        <v>17</v>
      </c>
      <c r="H146" s="6">
        <v>73.3</v>
      </c>
    </row>
    <row r="147" spans="1:9" x14ac:dyDescent="0.3">
      <c r="B147" t="s">
        <v>14</v>
      </c>
      <c r="H147" s="6">
        <v>80</v>
      </c>
    </row>
    <row r="148" spans="1:9" x14ac:dyDescent="0.3">
      <c r="B148" t="s">
        <v>15</v>
      </c>
      <c r="H148" s="6">
        <v>93.87</v>
      </c>
    </row>
    <row r="149" spans="1:9" x14ac:dyDescent="0.3">
      <c r="B149" t="s">
        <v>16</v>
      </c>
      <c r="H149" s="6">
        <v>82.68</v>
      </c>
    </row>
    <row r="150" spans="1:9" x14ac:dyDescent="0.3">
      <c r="B150" t="s">
        <v>12</v>
      </c>
      <c r="H150" s="6">
        <v>20.77</v>
      </c>
    </row>
    <row r="151" spans="1:9" x14ac:dyDescent="0.3">
      <c r="B151" t="s">
        <v>13</v>
      </c>
      <c r="H151" s="6">
        <v>41.88</v>
      </c>
    </row>
    <row r="152" spans="1:9" x14ac:dyDescent="0.3">
      <c r="B152" t="s">
        <v>108</v>
      </c>
      <c r="H152" s="6">
        <v>390.56</v>
      </c>
      <c r="I152" s="6"/>
    </row>
    <row r="153" spans="1:9" x14ac:dyDescent="0.3">
      <c r="G153" s="5">
        <v>1000</v>
      </c>
      <c r="H153" s="5">
        <f>SUM(H145:H152)</f>
        <v>1025.19</v>
      </c>
    </row>
    <row r="154" spans="1:9" x14ac:dyDescent="0.3">
      <c r="A154" s="7" t="s">
        <v>8</v>
      </c>
    </row>
    <row r="155" spans="1:9" x14ac:dyDescent="0.3">
      <c r="B155" t="s">
        <v>9</v>
      </c>
      <c r="H155" s="6">
        <v>282.02999999999997</v>
      </c>
    </row>
    <row r="156" spans="1:9" x14ac:dyDescent="0.3">
      <c r="B156" t="s">
        <v>10</v>
      </c>
      <c r="H156" s="6">
        <v>474</v>
      </c>
    </row>
    <row r="157" spans="1:9" x14ac:dyDescent="0.3">
      <c r="B157" t="s">
        <v>130</v>
      </c>
      <c r="H157" s="6">
        <f>1048.9/2</f>
        <v>524.45000000000005</v>
      </c>
    </row>
    <row r="158" spans="1:9" x14ac:dyDescent="0.3">
      <c r="B158" t="s">
        <v>131</v>
      </c>
      <c r="H158" s="6">
        <f>1126.38/2</f>
        <v>563.19000000000005</v>
      </c>
    </row>
    <row r="159" spans="1:9" x14ac:dyDescent="0.3">
      <c r="B159" t="s">
        <v>132</v>
      </c>
      <c r="H159" s="6">
        <f>838.98/2</f>
        <v>419.49</v>
      </c>
    </row>
    <row r="160" spans="1:9" x14ac:dyDescent="0.3">
      <c r="B160" t="s">
        <v>133</v>
      </c>
      <c r="H160" s="6">
        <f>993.41/2</f>
        <v>496.70499999999998</v>
      </c>
    </row>
    <row r="161" spans="1:8" x14ac:dyDescent="0.3">
      <c r="B161" t="s">
        <v>127</v>
      </c>
      <c r="G161" s="5"/>
      <c r="H161" s="6">
        <f>1136.54/2</f>
        <v>568.27</v>
      </c>
    </row>
    <row r="162" spans="1:8" x14ac:dyDescent="0.3">
      <c r="B162" t="s">
        <v>128</v>
      </c>
      <c r="G162" s="5"/>
      <c r="H162" s="6">
        <f>843.04</f>
        <v>843.04</v>
      </c>
    </row>
    <row r="163" spans="1:8" x14ac:dyDescent="0.3">
      <c r="B163" t="s">
        <v>129</v>
      </c>
      <c r="G163" s="5"/>
      <c r="H163" s="6">
        <v>651.59</v>
      </c>
    </row>
    <row r="164" spans="1:8" x14ac:dyDescent="0.3">
      <c r="G164" s="5"/>
      <c r="H164" s="5"/>
    </row>
    <row r="165" spans="1:8" x14ac:dyDescent="0.3">
      <c r="G165" s="5"/>
      <c r="H165" s="5"/>
    </row>
    <row r="166" spans="1:8" x14ac:dyDescent="0.3">
      <c r="G166" s="5">
        <v>5078.3999999999996</v>
      </c>
      <c r="H166" s="5">
        <f>SUM(H155:H165)</f>
        <v>4822.7649999999994</v>
      </c>
    </row>
    <row r="168" spans="1:8" x14ac:dyDescent="0.3">
      <c r="A168" s="7" t="s">
        <v>78</v>
      </c>
      <c r="G168" s="5">
        <f>G166+G153+G143</f>
        <v>10078.4</v>
      </c>
      <c r="H168" s="5">
        <f>H143+H153+H166</f>
        <v>10067.955</v>
      </c>
    </row>
    <row r="171" spans="1:8" x14ac:dyDescent="0.3">
      <c r="F171" t="s">
        <v>136</v>
      </c>
      <c r="G171" s="6">
        <f>G168+G131+G123</f>
        <v>49874.400000000001</v>
      </c>
      <c r="H171" s="6">
        <f>H168+H131+H123</f>
        <v>49885.165000000008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28c39e6-0c90-4ea3-a610-84d2bb8e1274">
      <Terms xmlns="http://schemas.microsoft.com/office/infopath/2007/PartnerControls"/>
    </lcf76f155ced4ddcb4097134ff3c332f>
    <TaxCatchAll xmlns="3e20a801-be8f-4d55-9caf-c74144eb9b5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AEEFDCF8FC3214D848E9C788629281E" ma:contentTypeVersion="19" ma:contentTypeDescription="Creare un nuovo documento." ma:contentTypeScope="" ma:versionID="0e57a63a2cd217dbf69f9ec7215a131a">
  <xsd:schema xmlns:xsd="http://www.w3.org/2001/XMLSchema" xmlns:xs="http://www.w3.org/2001/XMLSchema" xmlns:p="http://schemas.microsoft.com/office/2006/metadata/properties" xmlns:ns2="a28c39e6-0c90-4ea3-a610-84d2bb8e1274" xmlns:ns3="3e20a801-be8f-4d55-9caf-c74144eb9b56" targetNamespace="http://schemas.microsoft.com/office/2006/metadata/properties" ma:root="true" ma:fieldsID="cb74d217bd4ab423f1f0dcedb30ee6a3" ns2:_="" ns3:_="">
    <xsd:import namespace="a28c39e6-0c90-4ea3-a610-84d2bb8e1274"/>
    <xsd:import namespace="3e20a801-be8f-4d55-9caf-c74144eb9b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8c39e6-0c90-4ea3-a610-84d2bb8e12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Tag immagine" ma:readOnly="false" ma:fieldId="{5cf76f15-5ced-4ddc-b409-7134ff3c332f}" ma:taxonomyMulti="true" ma:sspId="ad6f6efa-7f20-41b6-a912-b69d361521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20a801-be8f-4d55-9caf-c74144eb9b5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881a0c8-337b-4d65-bcb6-1fa710347d62}" ma:internalName="TaxCatchAll" ma:showField="CatchAllData" ma:web="3e20a801-be8f-4d55-9caf-c74144eb9b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4DCB32-9069-4C1E-896B-80B28855DDA5}">
  <ds:schemaRefs>
    <ds:schemaRef ds:uri="http://schemas.microsoft.com/office/2006/metadata/properties"/>
    <ds:schemaRef ds:uri="http://schemas.microsoft.com/office/infopath/2007/PartnerControls"/>
    <ds:schemaRef ds:uri="a28c39e6-0c90-4ea3-a610-84d2bb8e1274"/>
    <ds:schemaRef ds:uri="3e20a801-be8f-4d55-9caf-c74144eb9b56"/>
  </ds:schemaRefs>
</ds:datastoreItem>
</file>

<file path=customXml/itemProps2.xml><?xml version="1.0" encoding="utf-8"?>
<ds:datastoreItem xmlns:ds="http://schemas.openxmlformats.org/officeDocument/2006/customXml" ds:itemID="{1DAA2E8F-E973-4FA6-9228-9885EB1941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BF4D62-43D8-4AAA-9A6B-8EE850A33C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28c39e6-0c90-4ea3-a610-84d2bb8e1274"/>
    <ds:schemaRef ds:uri="3e20a801-be8f-4d55-9caf-c74144eb9b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Rendicontazione finale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Tomea</dc:creator>
  <cp:lastModifiedBy>Alexander Green</cp:lastModifiedBy>
  <cp:lastPrinted>2025-09-30T09:41:05Z</cp:lastPrinted>
  <dcterms:created xsi:type="dcterms:W3CDTF">2016-09-18T10:44:09Z</dcterms:created>
  <dcterms:modified xsi:type="dcterms:W3CDTF">2026-03-25T09:23:15Z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0x010100FAEEFDCF8FC3214D848E9C788629281E</vt:lpwstr>
  </property>
  <property fmtid="{D5CDD505-2E9C-101B-9397-08002B2CF9AE}" pid="3" name="MediaServiceImageTags">
    <vt:lpwstr/>
  </property>
</Properties>
</file>