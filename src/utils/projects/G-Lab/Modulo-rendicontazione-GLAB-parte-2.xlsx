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MG02\_Shared_Folders$\02_G-LAB\14_BANDI_E_APPALTI\PROGETTI_IN_CORSO\BANDO_ECCCO\RENDICONTAZIONE\Settembre 2025\"/>
    </mc:Choice>
  </mc:AlternateContent>
  <bookViews>
    <workbookView xWindow="2040" yWindow="1956" windowWidth="29424" windowHeight="19596" activeTab="2"/>
  </bookViews>
  <sheets>
    <sheet name="COSTI" sheetId="3" r:id="rId1"/>
    <sheet name="Personale Coop. Crescita" sheetId="4" r:id="rId2"/>
    <sheet name="Personale dipendente G-LAB" sheetId="5" r:id="rId3"/>
    <sheet name="Dettaglio materiale acquistato" sheetId="6" r:id="rId4"/>
  </sheets>
  <definedNames>
    <definedName name="_xlnm._FilterDatabase" localSheetId="3" hidden="1">'Dettaglio materiale acquistato'!$A$1:$H$41</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10" i="4" l="1"/>
  <c r="E11" i="4"/>
  <c r="E9" i="4"/>
  <c r="E6" i="4"/>
  <c r="E14" i="4" s="1"/>
  <c r="E5" i="4"/>
  <c r="E4" i="4"/>
  <c r="E2" i="4"/>
  <c r="H3" i="5" l="1"/>
  <c r="H4" i="5"/>
  <c r="H6" i="5"/>
  <c r="H5" i="5"/>
  <c r="H43" i="6" l="1"/>
  <c r="E133" i="3" s="1"/>
  <c r="G43" i="6"/>
  <c r="E30" i="3" l="1"/>
  <c r="M4" i="5" l="1"/>
  <c r="M5" i="5"/>
  <c r="M6" i="5"/>
  <c r="M3" i="5"/>
  <c r="I3" i="5"/>
  <c r="I5" i="5" l="1"/>
  <c r="J5" i="5" s="1"/>
  <c r="E21" i="3" s="1"/>
  <c r="J3" i="5"/>
  <c r="E11" i="3" s="1"/>
  <c r="I6" i="5"/>
  <c r="J6" i="5" s="1"/>
  <c r="E20" i="3" s="1"/>
  <c r="I4" i="5"/>
  <c r="J4" i="5" s="1"/>
  <c r="F4" i="5"/>
  <c r="F3" i="5"/>
  <c r="E12" i="3" l="1"/>
  <c r="J8" i="5"/>
  <c r="G8" i="5"/>
  <c r="F6" i="5"/>
  <c r="F5" i="5"/>
  <c r="D8" i="5" l="1"/>
  <c r="E140" i="3"/>
  <c r="D140" i="3"/>
  <c r="E126" i="3"/>
  <c r="D126" i="3"/>
  <c r="E112" i="3"/>
  <c r="D112" i="3"/>
  <c r="E70" i="3"/>
  <c r="D70" i="3"/>
  <c r="D145" i="3" s="1"/>
  <c r="D6" i="3" s="1"/>
  <c r="E177" i="3"/>
  <c r="E167" i="3"/>
  <c r="E179" i="3" s="1"/>
  <c r="E145" i="3" l="1"/>
  <c r="E181" i="3" s="1"/>
  <c r="E6" i="3" l="1"/>
</calcChain>
</file>

<file path=xl/sharedStrings.xml><?xml version="1.0" encoding="utf-8"?>
<sst xmlns="http://schemas.openxmlformats.org/spreadsheetml/2006/main" count="321" uniqueCount="216">
  <si>
    <t>C</t>
  </si>
  <si>
    <t>COSTI</t>
  </si>
  <si>
    <t>Sub. Totale D</t>
  </si>
  <si>
    <t>Sub. Totale C</t>
  </si>
  <si>
    <t>TOTALE A+B+C+D</t>
  </si>
  <si>
    <t>Sub. Totale A</t>
  </si>
  <si>
    <t>Sub. Totale B</t>
  </si>
  <si>
    <t>RENDICONTAZIONE CONSUNTIVA</t>
  </si>
  <si>
    <t>A) Personale</t>
  </si>
  <si>
    <t>B) Attrezzature</t>
  </si>
  <si>
    <t>C) Spese di produzione e divulgazione materiale di comunicazione</t>
  </si>
  <si>
    <t>D) Altri costi connessi direttamente alla realizzazione del progetto</t>
  </si>
  <si>
    <t>Indicare i motivi degli eventuali scostamenti tra previsione e consuntivo delle spese sostenute</t>
  </si>
  <si>
    <r>
      <t xml:space="preserve">Costi preventivi </t>
    </r>
    <r>
      <rPr>
        <sz val="9"/>
        <color indexed="8"/>
        <rFont val="Tahoma"/>
        <family val="2"/>
      </rPr>
      <t>(riportare i costi indicati nella richiesta di contributo)</t>
    </r>
  </si>
  <si>
    <t>ENTRATE</t>
  </si>
  <si>
    <t>Sub Totale B.</t>
  </si>
  <si>
    <t>Sub Totale C.</t>
  </si>
  <si>
    <t>Totale costi consuntivi</t>
  </si>
  <si>
    <t>Coordinamento (elencare il dettaglio dei documenti di spesa: numero, data di emissione, fornitore)</t>
  </si>
  <si>
    <t>Consulenze/esperti  (elencare il dettaglio dei documenti di spesa: numero, data di emissione, fornitore)</t>
  </si>
  <si>
    <t>Formatori/operatori (elencare il dettaglio dei documenti di spesa: numero, data di emissione, fornitore)</t>
  </si>
  <si>
    <t>Altro (specificare e delencare il dettaglio dei documenti di spesa: numero, data di emissione, fornitore)</t>
  </si>
  <si>
    <t>Noleggio attrezzature  (elencare il dettaglio dei documenti di spesa: numero, data di emissione, fornitore)</t>
  </si>
  <si>
    <t>Acquisto attrezzature (elencare il dettaglio dei documenti di spesa: numero, data di emissione, fornitore)</t>
  </si>
  <si>
    <t>Altro (specificare ed elencare il dettaglio dei documenti di spesa: numero, data di emissione, fornitore)</t>
  </si>
  <si>
    <t>(elencare il dettaglio dei documenti di spesa: numero, data di emissione, fornitore)</t>
  </si>
  <si>
    <t>TOTALE ENTRATE (A+B+C)</t>
  </si>
  <si>
    <t>A) Contributo concesso dalla Fondazione</t>
  </si>
  <si>
    <r>
      <t xml:space="preserve">B) Contributi concessi da altri soggetti </t>
    </r>
    <r>
      <rPr>
        <sz val="9"/>
        <color indexed="8"/>
        <rFont val="Tahoma"/>
        <family val="2"/>
      </rPr>
      <t>(specificare l'Ente che ha concesso il contributo)</t>
    </r>
  </si>
  <si>
    <r>
      <t xml:space="preserve">C) Altre entrate del progetto </t>
    </r>
    <r>
      <rPr>
        <sz val="9"/>
        <color indexed="8"/>
        <rFont val="Tahoma"/>
        <family val="2"/>
      </rPr>
      <t>(biglietteria, quote di partecipazione, ecc.)</t>
    </r>
  </si>
  <si>
    <t>D) Risorse messe a disposizione dal richiedente (DIFFERENZA TRA COSTI E ENTRATE)</t>
  </si>
  <si>
    <t>Assegnisti (elencare il dettaglio dei documenti di spesa: nome intestatario dell'assegno, numero, data di emissione)</t>
  </si>
  <si>
    <t>Borsisti (elencare il dettaglio dei documenti di spesa: nome dell'intestatario della borsa di studio, numero, data di emissione)</t>
  </si>
  <si>
    <t>DICHIARAZIONE SOSTITUTIVA</t>
  </si>
  <si>
    <t>(artt. 46 e 47 D.P.R. 28 dicembre 2000, n. 445)</t>
  </si>
  <si>
    <t>D I C H I A R A</t>
  </si>
  <si>
    <t>Si allega alla presente copia del documento di identità in corso di validità del legale rappresentante.</t>
  </si>
  <si>
    <t xml:space="preserve">L’Amministrazione ai sensi dell’art. 71 del D.P.R. 445/2000 può procedere a idonei controlli sulla veridicità delle dichiarazioni sostitutive. </t>
  </si>
  <si>
    <t>Importo indicato in richiesta contributo</t>
  </si>
  <si>
    <t>Importo indicato in richiesta contributo spese generali</t>
  </si>
  <si>
    <t>Importo indicato in richiesta contributo materiali di laboratorio</t>
  </si>
  <si>
    <t>Personale Cooperativa Progetto Crescita (vedi foglio di dettaglio)</t>
  </si>
  <si>
    <t>Dipendenete</t>
  </si>
  <si>
    <t>riferimento busta paga</t>
  </si>
  <si>
    <t>costo orario medio</t>
  </si>
  <si>
    <t>ore nel progetto</t>
  </si>
  <si>
    <t>costo progetto</t>
  </si>
  <si>
    <t>Battistini Mirco</t>
  </si>
  <si>
    <t>Carzoli Dalila</t>
  </si>
  <si>
    <t>nov 24 nr 50999 del 11/12/2024; dic 24 nr 52045 del 21/01/2025</t>
  </si>
  <si>
    <t>Gonzo Elvira</t>
  </si>
  <si>
    <t>Mandolesi Michela</t>
  </si>
  <si>
    <t>Sturaro Martina</t>
  </si>
  <si>
    <t>ott. 24 nr. 50766 del 18/11/2024</t>
  </si>
  <si>
    <t>Fattura n. 36/gsi del 30/11/2024 GSI gruppo servizi informatici (voci evidenziate)</t>
  </si>
  <si>
    <t>Dipendenti</t>
  </si>
  <si>
    <t>Voce budget</t>
  </si>
  <si>
    <t>Quantità</t>
  </si>
  <si>
    <t>Consulenze/esperti</t>
  </si>
  <si>
    <t>Coordinamento</t>
  </si>
  <si>
    <t>TOT</t>
  </si>
  <si>
    <t>Ludovica Biondi, formatrice esperta. Fattura 5/25 del 28/03/2025</t>
  </si>
  <si>
    <t>Ore di lavoro di Giulia Bariselli (vedi dettaglio in foglio "Personale dipendente G-LAB)</t>
  </si>
  <si>
    <t>Ore di lavoro di Claudia Cavassa (vedi dettaglio in foglio "Personale dipendente G-LAB)</t>
  </si>
  <si>
    <t>Esperti G-LAB per progettazione didattica: ore di lavoro di Jessica Maestrini (vedi dettaglio in foglio "Personale dipendente G-LAB)</t>
  </si>
  <si>
    <t>Esperti G-LAB per progettazione didattica: ore di lavoro di Paolo Manzi (vedi dettaglio in foglio "Personale dipendente G-LAB)</t>
  </si>
  <si>
    <t>Attilio Ardito, formatore esperto. Notula del 31/03/2025</t>
  </si>
  <si>
    <t>AMAZON</t>
  </si>
  <si>
    <t>compensato</t>
  </si>
  <si>
    <t>fattura</t>
  </si>
  <si>
    <t>set cacciaviti X5</t>
  </si>
  <si>
    <t>alimentatori X5</t>
  </si>
  <si>
    <t>scatole portaoggetti</t>
  </si>
  <si>
    <t>filamento</t>
  </si>
  <si>
    <t>modulo PCA9685 X1</t>
  </si>
  <si>
    <t>modulo PCA9685 X3</t>
  </si>
  <si>
    <t>micro 9g Servo Motore</t>
  </si>
  <si>
    <t>Arduino UNO R4 X5</t>
  </si>
  <si>
    <t>fattura elettronica</t>
  </si>
  <si>
    <t>UGREEN Nexode</t>
  </si>
  <si>
    <t>Queta Micro Servomotore</t>
  </si>
  <si>
    <t>cavo a spirale</t>
  </si>
  <si>
    <t>cavo USB tipo C X3</t>
  </si>
  <si>
    <t>CAVETTI Jumper X4</t>
  </si>
  <si>
    <t>Scatole 12,5 L x2</t>
  </si>
  <si>
    <t>3M biadesivo X4</t>
  </si>
  <si>
    <t>multipresa 6 posti X5</t>
  </si>
  <si>
    <t>alimentatore 5V 10A X1</t>
  </si>
  <si>
    <t>alimentatore 5V 10A X5</t>
  </si>
  <si>
    <t>10 pz connettori alimentazione X2 (fattura da 15,10 € - IVA 20%)</t>
  </si>
  <si>
    <t>GreekPi 5Pack X2</t>
  </si>
  <si>
    <t>ESSELUNGA</t>
  </si>
  <si>
    <t>spesa</t>
  </si>
  <si>
    <t>Arduino nano X5</t>
  </si>
  <si>
    <t>Hellege 3pcs NANO X3</t>
  </si>
  <si>
    <t>servomotore</t>
  </si>
  <si>
    <t>mouse bluetooth</t>
  </si>
  <si>
    <t>PD3504 40W 2C2A White IT3</t>
  </si>
  <si>
    <t>ELEGOO Kit Elettronico con Breadboard X4</t>
  </si>
  <si>
    <t>chiavi USB</t>
  </si>
  <si>
    <t>Importo</t>
  </si>
  <si>
    <t>Numero fattura</t>
  </si>
  <si>
    <t>Data Fattura</t>
  </si>
  <si>
    <t>Acquistato presso</t>
  </si>
  <si>
    <t>Nome fornitore</t>
  </si>
  <si>
    <t>Tipo documento</t>
  </si>
  <si>
    <t>Acquisti materiale per laboratori STEAM</t>
  </si>
  <si>
    <t>Acquisto pasticceria per evento iniziale. Scontrino del 23/10/2024 nr 05564 del Forno Pasticceria Nonna Iride</t>
  </si>
  <si>
    <t>SECAM SRL</t>
  </si>
  <si>
    <r>
      <t xml:space="preserve">La sottoscritta </t>
    </r>
    <r>
      <rPr>
        <b/>
        <sz val="10"/>
        <color indexed="8"/>
        <rFont val="Verdana"/>
        <family val="2"/>
      </rPr>
      <t>Eugenia Ferrara__________</t>
    </r>
    <r>
      <rPr>
        <sz val="10"/>
        <color indexed="8"/>
        <rFont val="Verdana"/>
        <family val="2"/>
      </rPr>
      <t xml:space="preserve">   nato/a a _Sant'Arcangelo________ prov. (PZ) il _04/10/1979_____ e residente in Casalecchio di Reno </t>
    </r>
  </si>
  <si>
    <t xml:space="preserve">prov. (  BO  ) alla via della Bolsenda 1/c, 40033, in qualità di legale rappresentante della _G-LAB S.r.l. Impresa Sociale__ con sede in Bologna____prov.  (  BO ), alla Via/Corso/Piazza _VIA PAOLO NANNI COSTA, 14_, consapevole delle sanzioni disposte dall’art. 76 D.P.R. 28 dicembre 2000 n. 445 e successive modificazioni ed integrazioni per le ipotesi di rilascio di dichiarazioni mendaci e di falsità previste dal codice penale e delle leggi speciali in materia, sotto la propria responsabilità, ai sensi e per gli effetti di cui agli artt. 46 e 47 del citato decreto  </t>
  </si>
  <si>
    <t>Ore</t>
  </si>
  <si>
    <t>Costo orario*</t>
  </si>
  <si>
    <t>*Per la quantificazione del costo orario si veda il documento "Ore certificate" allegato</t>
  </si>
  <si>
    <t>Davide Colombi, formatore esperto. Fattura 9/A del 17/07/2025</t>
  </si>
  <si>
    <t>Davide Colombi, formatore esperto. Notula del 22/01/2025</t>
  </si>
  <si>
    <t>Formatori per attività didattica. Prima Tranches pagamento incarico. Fattura di Chrones SRL (P.IVA IT08822590728) FPR_EV 5/2024 del 05/11/2024</t>
  </si>
  <si>
    <t>Formatori per attività didattica. Seconda Tranches pagamento incarico. Fattura di Chrones SRL (P.IVA IT08822590728) FPR_EV 5/2025 del 26/05/2025</t>
  </si>
  <si>
    <t>Tipo di attività</t>
  </si>
  <si>
    <t>Attività di management, rapporto con i partner, gestione amministrativa, compilazione di documenti progettuali e di rendicontazione</t>
  </si>
  <si>
    <t>Attività di management, rapporto con le scuole e i formatori, calendarizzazione attività, segreteria didattica e rapporti con i pubblico</t>
  </si>
  <si>
    <t>Progettazione, rimodulazione, supporto ed erogazione di attività didattiche</t>
  </si>
  <si>
    <t>AZ-Delivery Vertriebs GmbH</t>
  </si>
  <si>
    <t xml:space="preserve">changshahengfengdelipudianzishangwuyouxiangongsi xiangzhanglu255hao </t>
  </si>
  <si>
    <t xml:space="preserve">407-8519873-6645940 </t>
  </si>
  <si>
    <t>Shenzhenshi guoyun dianzishangwu youxiangongsi</t>
  </si>
  <si>
    <t>Esselunga SPA</t>
  </si>
  <si>
    <t>Shenzhen XinZhong Technology Co., Ltd.</t>
  </si>
  <si>
    <t xml:space="preserve">407-0217753-2723554 </t>
  </si>
  <si>
    <t>g.L.L. GmbH Bauernvogtkoppel</t>
  </si>
  <si>
    <t xml:space="preserve">407-2487941-3217926 </t>
  </si>
  <si>
    <t>shenzhenshiruoyekejiyouxiangongsi</t>
  </si>
  <si>
    <t xml:space="preserve">407 -2487941-3217926 </t>
  </si>
  <si>
    <t>Commerciamo GmbH</t>
  </si>
  <si>
    <t xml:space="preserve">Shenzhen Enheji Keji Youxiangongsi Guanhu Jiedao </t>
  </si>
  <si>
    <t xml:space="preserve">INV-ES-1193655535-2024-1956 € 42,16 </t>
  </si>
  <si>
    <t>Shangahai QiWai Technology Co., Ltd</t>
  </si>
  <si>
    <t xml:space="preserve"> INV-IT-1490745005-2024-1859</t>
  </si>
  <si>
    <t xml:space="preserve">ALWO SPOLKA Z OGRANICZONA ODPOWIEDZIALNOSCIA </t>
  </si>
  <si>
    <t xml:space="preserve"> INV-PL-162351181-2024-4870</t>
  </si>
  <si>
    <t>HONG KONG UGREEN LIMITED</t>
  </si>
  <si>
    <t xml:space="preserve">407-0638727-1549158 </t>
  </si>
  <si>
    <t>Amazon EU S.a r.l., Succursale Italiana</t>
  </si>
  <si>
    <t xml:space="preserve">IT24-AEUl-12751278 </t>
  </si>
  <si>
    <t xml:space="preserve">SHENZHENANQITESHANGMAOYOUXIANGONGSIXINCUIYAYUAN 1 DONG C DANYUAN 701SHI </t>
  </si>
  <si>
    <t>INV-IT-508151275-2024-1736</t>
  </si>
  <si>
    <t xml:space="preserve">Shenzhen Zu Fang Bei Technology Company Limiled </t>
  </si>
  <si>
    <t>407-0217753-2723554</t>
  </si>
  <si>
    <t>nmak KERBAL LTD CO.LTD</t>
  </si>
  <si>
    <t xml:space="preserve">Arduino S.r.l. </t>
  </si>
  <si>
    <t>IT24-59865I-2803</t>
  </si>
  <si>
    <t xml:space="preserve">IT24-59865I-2579 </t>
  </si>
  <si>
    <t xml:space="preserve">Grapefruit Tracie Kft </t>
  </si>
  <si>
    <t>407-1832778-0105140</t>
  </si>
  <si>
    <t>Zhishi store</t>
  </si>
  <si>
    <t>INV-IT- 407-2487941-3217926</t>
  </si>
  <si>
    <t>FERLA FRANCESCO</t>
  </si>
  <si>
    <t>EMC HK Company Limited</t>
  </si>
  <si>
    <t>407-8519873-6645940</t>
  </si>
  <si>
    <t xml:space="preserve">WuAi XinXi KeJi (Shanghai) YouXian GongSi </t>
  </si>
  <si>
    <t xml:space="preserve">Shenzhen Zu Fang Bei Technology Company Limited </t>
  </si>
  <si>
    <t>Shenzhenshi chengnuo keji youxian gongsi hangcheng jiedao huangtian shequ huangtian jinbi</t>
  </si>
  <si>
    <t xml:space="preserve">407-1832778-0105140 </t>
  </si>
  <si>
    <t>Shenzhen Hailege Technology Co Ud</t>
  </si>
  <si>
    <t xml:space="preserve">405-4 769817-5366702 </t>
  </si>
  <si>
    <t>Ludovica Biondi, formatrice esperta. Fattura 7/25 del 28/05/2025</t>
  </si>
  <si>
    <t>Formatori per attività didattica. Fattura di Fondazione Parco Archeologico di Classe  (P:IVA IT02042760393)</t>
  </si>
  <si>
    <t>Che il progetto oggetto della presente rendicontazione è stato realizzato ed è concluso; 
Che i documenti fiscali oggetto della rendicontazione del progetto sono stati utilizzati per richiedere la copertura totale o parziale solo e unicamente alla Fondazione del Monte;
Che tali documenti sono veridici e pertinenti l progetto realizzato.
Si impegna inoltre a conservare presso i propri uffici situati all’indirizzo VIA PAOLO NANNI COSTA, 14 la suddetta documentazione fiscale per una durata di 10 anni, mettendola a disposizione della Fondazione del Monte su richiesta.</t>
  </si>
  <si>
    <t>Importo con IVA a COSTO</t>
  </si>
  <si>
    <t>EGSTARTS 2 Giocatori USB Controller per PC Game 2X 5Pin Stick + 4X 24mm + 16x 30mm Pulsanti per Giochi Arcade Kit armadietti Fai da Te Parti Mame SNK</t>
  </si>
  <si>
    <t>Cavo HDMI a VGA da 1,8 m (fattura da 37,45€ ma ricevuta da 35,58€)</t>
  </si>
  <si>
    <t xml:space="preserve">DIGITUS supporto a parete per monitor LCD/LED fino a 81 cm (32"), staffa di fissaggio, carico massimo 18 kg, VESA 75x75 e 100x100 </t>
  </si>
  <si>
    <t xml:space="preserve">HUAZIZ 8 Pezzi 9G Micro Servo Motore per Braccio Robot RC/Mano/Elicottero Barca Aeroplano Auto Veicoli Modelli di Controllo, Servos Mini Micro Motore per Arduino </t>
  </si>
  <si>
    <t>AREXONS | Smalto 100% Acrilico Smalto spray Nero+ Bianco</t>
  </si>
  <si>
    <t>tute protettive</t>
  </si>
  <si>
    <t>AREXONS | Smalto 100% Acrilico Smalto sprayRosso + lucido</t>
  </si>
  <si>
    <t>primer per plastiche</t>
  </si>
  <si>
    <t>varie</t>
  </si>
  <si>
    <t>Rii Gaming GP100 - Coppia Gamepad Controller USB compatibili con PC (Windows, Mac, Linux) e Raspberry Pi</t>
  </si>
  <si>
    <t>Detaglio acquisto</t>
  </si>
  <si>
    <t>Paolo Manzi, che ha lavorato al progetto 26 giorni lavorativi dal 10/07/2024 al 20/07/2025</t>
  </si>
  <si>
    <t>Giulia Bariselli, che ha lavorato al progetto 31 giorni lavorativi dal 10/07/2024 al 20/07/2025</t>
  </si>
  <si>
    <t>Claudia Cavassa, che ha lavorato al progetto 32 giorni lavorativi dal 01/01/2025 al 20/07/2025</t>
  </si>
  <si>
    <t>Jessica Maestrini, che ha lavorato al progetto 29 giorni lavorativi dal 10/07/2024 al 20/07/2025</t>
  </si>
  <si>
    <t>IT50002MWP1YHI</t>
  </si>
  <si>
    <t>Shen zhen shi jiu man ke ji you xian gong si</t>
  </si>
  <si>
    <t>IT50028PIAM3VI</t>
  </si>
  <si>
    <t>Ar-store di Raspugli Andrea</t>
  </si>
  <si>
    <t>IT5000QA54I8JI</t>
  </si>
  <si>
    <t>DM SOLUZIONI ICT srl</t>
  </si>
  <si>
    <t>IT25-AEUI-6034836</t>
  </si>
  <si>
    <t>IT25-AEUI-5960696</t>
  </si>
  <si>
    <t>IT25-AEUI-6020322</t>
  </si>
  <si>
    <t>IT5001JR1JTE7I</t>
  </si>
  <si>
    <t>guangzhouhuayueguojimaoyiyouxianzerengongsi</t>
  </si>
  <si>
    <t>JENOLITE (UK) LTD</t>
  </si>
  <si>
    <t>IT5000K59ND69I</t>
  </si>
  <si>
    <t>IT5000PU54I8JI</t>
  </si>
  <si>
    <t>SIA TROD AR</t>
  </si>
  <si>
    <t>408-3104167-3181169</t>
  </si>
  <si>
    <t>UNQ3LFZm-1746793656</t>
  </si>
  <si>
    <t>SHEN ZHEN SHI YU HAI DI DA MAO YI YOU XIAN GONG SI</t>
  </si>
  <si>
    <t>Acquisto struttura autoportante e adesivo per evento finale - fattura n. 457 del 31/05/2025 di Staff Srl</t>
  </si>
  <si>
    <t>ott nr 50202 del 18/11/2024; nov 24  nr 50928 del 11/12/2024; dic nr 51972 del 21/01/2025; gen 25  nr 52698 del 13/02/2025; feb 25 nr. 53399 dl 11/03/2025; mar 25 bnr 54106 del 15/04/2025;apr 25 nr.54835 del 14/05/2025; mag 25 nr 5553 del 11/06/2025;giu 25 nr 56263 del 11/07/2025</t>
  </si>
  <si>
    <t>nov 2 nr 51175 del 11/12/2024; dic 24 nr 52227 del 21/01/2025; gen 25 nbr 52947 del 3/02/2025; feb 25 nr. 53650 de 11/03/2025; mar 25 nr. 54360 del 15/04/2025; apr 2025 550825 del 14/05/2025; mag 25 nr 55801 del 11/06/2025</t>
  </si>
  <si>
    <t>ott 24 nr 50517 del 18/11/2024; nov 24 nr. 51239 del 11/12/2024; dic 24 nr. 52295 del21/01/2025; gen 25 nr . 53013 del 13/02/2024; feb 24 nr. 53717 del 11/03/2025; mar 25 nr 54426 deel 15/04/2025 apr 25 nr 55156 del 14/05/2025; mag 25 nr 5867 del 11/06/2025</t>
  </si>
  <si>
    <t>Ravaioli Marta</t>
  </si>
  <si>
    <t>apr 25 nr 55314 del 14/05/2025; mag 25 nr 56022 del 11/06/2025</t>
  </si>
  <si>
    <t>Spinella Serena</t>
  </si>
  <si>
    <t>apr 25 nr 55386 del 14/5/2025; mag 25 nr 56095 del 11/06/2025</t>
  </si>
  <si>
    <t>Rambelli Stefano</t>
  </si>
  <si>
    <t>apr 25 nr 55304 del14/05/2025; mag 25 nr 5602 del 11/06/2025</t>
  </si>
  <si>
    <t xml:space="preserve"> mese sett. 24 nr .50040 del 21/10/2024</t>
  </si>
  <si>
    <t xml:space="preserve"> nov 24 nr. 51470 del 11/12/2024; dic 2 nr. 52538 del 21/01/2025; gen 25 nr 53241 del 13/02/2025; feb nr 53948 dl 11/03/2024;mar 25 nr 54663 del 15/04/2025; Aprv n 55392 del 14/05/2025; mag 25 nr 56101 del 11/05/2025; giu 25 nr 56896 del 11/07/2025</t>
  </si>
  <si>
    <t>Il principale scostamento riguarda la sezione B) Attrezzature e D) Altri costi. In fase di progettazione era stato previsto l’acquisto di PC e di alcune dotazioni tecnologiche da destinare alle scuole beneficiarie; tuttavia, nel corso dell’attuazione è emerso che gli istituti coinvolti disponevano già di una dotazione informatica sufficiente grazie a recenti acquisizioni interne. Per evitare una spesa ridondante e non strettamente necessaria, si è quindi deciso di non procedere con l’acquisto. Le risorse così liberate sono state riallocate alla voce “Personale”, consentendo di incrementare le ore di formazione e di accompagnamento educativo rivolte direttamente agli studenti e alle studentesse. Tale riallocazione ha reso possibile, da un lato, la riprogettazione di alcune attività in risposta a esigenze specifiche delle classi coinvolte, e dall’altro l’ampliamento dei workshop realizzati presso il Centro Quake. Questa scelta ha permesso di garantire la piena coerenza con gli obiettivi progettuali, assicurando al contempo un utilizzo più efficace dei fondi e un impatto educativo rafforzato.</t>
  </si>
  <si>
    <t>Bologna, 30/09/2025                            Timbro e firma: Eugenia Ferrara</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</si>
</sst>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 #,##0.00\ &quot;€&quot;_-;\-* #,##0.00\ &quot;€&quot;_-;_-* &quot;-&quot;??\ &quot;€&quot;_-;_-@_-"/>
    <numFmt numFmtId="164" formatCode="&quot;€&quot;\ #,##0.00"/>
    <numFmt numFmtId="165" formatCode="[$€-2]\ #,##0.00;[Red]\-[$€-2]\ #,##0.00"/>
  </numFmts>
  <fonts count="17" x14ac:knownFonts="1">
    <font>
      <sz val="11"/>
      <color theme="1"/>
      <name val="Calibri"/>
      <family val="2"/>
      <scheme val="minor"/>
    </font>
    <font>
      <b/>
      <sz val="12"/>
      <color indexed="9"/>
      <name val="Tahoma"/>
      <family val="2"/>
    </font>
    <font>
      <sz val="10"/>
      <color indexed="8"/>
      <name val="Times New Roman"/>
      <family val="1"/>
    </font>
    <font>
      <sz val="9"/>
      <color indexed="8"/>
      <name val="Tahoma"/>
      <family val="2"/>
    </font>
    <font>
      <b/>
      <sz val="9"/>
      <color indexed="8"/>
      <name val="Tahoma"/>
      <family val="2"/>
    </font>
    <font>
      <b/>
      <sz val="8"/>
      <color indexed="8"/>
      <name val="Tahoma"/>
      <family val="2"/>
    </font>
    <font>
      <i/>
      <sz val="9"/>
      <color indexed="8"/>
      <name val="Tahoma"/>
      <family val="2"/>
    </font>
    <font>
      <sz val="9"/>
      <color indexed="8"/>
      <name val="Times New Roman"/>
      <family val="1"/>
    </font>
    <font>
      <b/>
      <sz val="10"/>
      <color indexed="8"/>
      <name val="Verdana"/>
      <family val="2"/>
    </font>
    <font>
      <sz val="10"/>
      <color indexed="8"/>
      <name val="Verdana"/>
      <family val="2"/>
    </font>
    <font>
      <b/>
      <u/>
      <sz val="10"/>
      <color indexed="8"/>
      <name val="Verdana"/>
      <family val="2"/>
    </font>
    <font>
      <sz val="12"/>
      <color indexed="8"/>
      <name val="Times New Roman"/>
      <family val="1"/>
    </font>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sz val="9"/>
      <color theme="1"/>
      <name val="Arial"/>
      <family val="2"/>
    </font>
  </fonts>
  <fills count="8">
    <fill>
      <patternFill patternType="none"/>
    </fill>
    <fill>
      <patternFill patternType="gray125"/>
    </fill>
    <fill>
      <patternFill patternType="solid">
        <fgColor indexed="56"/>
        <bgColor indexed="64"/>
      </patternFill>
    </fill>
    <fill>
      <patternFill patternType="solid">
        <fgColor theme="3"/>
        <bgColor indexed="64"/>
      </patternFill>
    </fill>
    <fill>
      <patternFill patternType="solid">
        <fgColor theme="5"/>
        <bgColor indexed="64"/>
      </patternFill>
    </fill>
    <fill>
      <patternFill patternType="solid">
        <fgColor rgb="FFFFFF00"/>
        <bgColor indexed="64"/>
      </patternFill>
    </fill>
    <fill>
      <patternFill patternType="solid">
        <fgColor theme="0"/>
        <bgColor indexed="64"/>
      </patternFill>
    </fill>
    <fill>
      <patternFill patternType="solid">
        <fgColor theme="6" tint="0.79998168889431442"/>
        <bgColor indexed="64"/>
      </patternFill>
    </fill>
  </fills>
  <borders count="34">
    <border>
      <left/>
      <right/>
      <top/>
      <bottom/>
      <diagonal/>
    </border>
    <border>
      <left/>
      <right style="medium">
        <color indexed="64"/>
      </right>
      <top/>
      <bottom/>
      <diagonal/>
    </border>
    <border>
      <left style="medium">
        <color indexed="64"/>
      </left>
      <right/>
      <top/>
      <bottom/>
      <diagonal/>
    </border>
    <border>
      <left style="dotted">
        <color indexed="64"/>
      </left>
      <right style="medium">
        <color indexed="64"/>
      </right>
      <top style="dotted">
        <color indexed="64"/>
      </top>
      <bottom style="dotted">
        <color indexed="64"/>
      </bottom>
      <diagonal/>
    </border>
    <border>
      <left style="dotted">
        <color indexed="64"/>
      </left>
      <right style="medium">
        <color indexed="64"/>
      </right>
      <top/>
      <bottom style="dotted">
        <color indexed="64"/>
      </bottom>
      <diagonal/>
    </border>
    <border>
      <left style="dotted">
        <color indexed="64"/>
      </left>
      <right style="medium">
        <color indexed="64"/>
      </right>
      <top/>
      <bottom style="medium">
        <color indexed="64"/>
      </bottom>
      <diagonal/>
    </border>
    <border>
      <left/>
      <right style="thin">
        <color indexed="64"/>
      </right>
      <top/>
      <bottom/>
      <diagonal/>
    </border>
    <border>
      <left style="medium">
        <color indexed="64"/>
      </left>
      <right/>
      <top/>
      <bottom style="dotted">
        <color indexed="64"/>
      </bottom>
      <diagonal/>
    </border>
    <border>
      <left style="dotted">
        <color indexed="64"/>
      </left>
      <right style="thin">
        <color indexed="64"/>
      </right>
      <top/>
      <bottom style="dotted">
        <color indexed="64"/>
      </bottom>
      <diagonal/>
    </border>
    <border>
      <left/>
      <right style="medium">
        <color indexed="64"/>
      </right>
      <top/>
      <bottom style="dotted">
        <color indexed="64"/>
      </bottom>
      <diagonal/>
    </border>
    <border>
      <left/>
      <right style="thin">
        <color indexed="64"/>
      </right>
      <top style="dotted">
        <color indexed="64"/>
      </top>
      <bottom/>
      <diagonal/>
    </border>
    <border>
      <left/>
      <right style="medium">
        <color indexed="64"/>
      </right>
      <top style="dotted">
        <color indexed="64"/>
      </top>
      <bottom/>
      <diagonal/>
    </border>
    <border>
      <left style="medium">
        <color indexed="64"/>
      </left>
      <right/>
      <top style="dotted">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indexed="64"/>
      </right>
      <top/>
      <bottom style="dotted">
        <color indexed="64"/>
      </bottom>
      <diagonal/>
    </border>
    <border>
      <left/>
      <right/>
      <top/>
      <bottom style="medium">
        <color indexed="64"/>
      </bottom>
      <diagonal/>
    </border>
    <border>
      <left style="thin">
        <color indexed="64"/>
      </left>
      <right style="medium">
        <color indexed="64"/>
      </right>
      <top/>
      <bottom style="medium">
        <color indexed="64"/>
      </bottom>
      <diagonal/>
    </border>
    <border>
      <left/>
      <right/>
      <top style="medium">
        <color indexed="64"/>
      </top>
      <bottom/>
      <diagonal/>
    </border>
    <border>
      <left style="medium">
        <color indexed="64"/>
      </left>
      <right/>
      <top style="dotted">
        <color indexed="64"/>
      </top>
      <bottom style="dotted">
        <color indexed="64"/>
      </bottom>
      <diagonal/>
    </border>
    <border>
      <left/>
      <right/>
      <top style="dotted">
        <color indexed="64"/>
      </top>
      <bottom style="dotted">
        <color indexed="64"/>
      </bottom>
      <diagonal/>
    </border>
    <border>
      <left/>
      <right/>
      <top/>
      <bottom style="dotted">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4" fontId="12" fillId="0" borderId="0" applyFont="0" applyFill="0" applyBorder="0" applyAlignment="0" applyProtection="0"/>
  </cellStyleXfs>
  <cellXfs count="224">
    <xf numFmtId="0" fontId="0" fillId="0" borderId="0" xfId="0"/>
    <xf numFmtId="0" fontId="3" fillId="0" borderId="0" xfId="0" applyFont="1" applyAlignment="1">
      <alignment vertical="center" wrapText="1"/>
    </xf>
    <xf numFmtId="0" fontId="3" fillId="0" borderId="1" xfId="0" applyFont="1" applyBorder="1" applyAlignment="1">
      <alignment vertical="center" wrapText="1"/>
    </xf>
    <xf numFmtId="0" fontId="4" fillId="0" borderId="0" xfId="0" applyFont="1" applyAlignment="1">
      <alignment vertical="center" wrapText="1"/>
    </xf>
    <xf numFmtId="0" fontId="4" fillId="0" borderId="1" xfId="0" applyFont="1" applyBorder="1" applyAlignment="1">
      <alignment vertical="center" wrapText="1"/>
    </xf>
    <xf numFmtId="0" fontId="3" fillId="0" borderId="0" xfId="0" applyFont="1" applyAlignment="1">
      <alignment horizontal="right" vertical="center" wrapText="1"/>
    </xf>
    <xf numFmtId="0" fontId="3" fillId="0" borderId="1" xfId="0" applyFont="1" applyBorder="1" applyAlignment="1">
      <alignment horizontal="right" vertical="center" wrapText="1"/>
    </xf>
    <xf numFmtId="0" fontId="3" fillId="0" borderId="0" xfId="0" applyFont="1" applyBorder="1" applyAlignment="1">
      <alignment vertical="center" wrapText="1"/>
    </xf>
    <xf numFmtId="0" fontId="3" fillId="0" borderId="0" xfId="0" applyFont="1" applyFill="1" applyAlignment="1">
      <alignment vertical="center" wrapText="1"/>
    </xf>
    <xf numFmtId="0" fontId="3" fillId="0" borderId="1" xfId="0" applyFont="1" applyFill="1" applyBorder="1" applyAlignment="1">
      <alignment vertical="center" wrapText="1"/>
    </xf>
    <xf numFmtId="0" fontId="0" fillId="0" borderId="0" xfId="0" applyFill="1" applyBorder="1" applyAlignment="1">
      <alignment vertical="center" wrapText="1"/>
    </xf>
    <xf numFmtId="0" fontId="0" fillId="0" borderId="0" xfId="0" applyFill="1"/>
    <xf numFmtId="0" fontId="0" fillId="0" borderId="0" xfId="0" applyBorder="1"/>
    <xf numFmtId="0" fontId="0" fillId="0" borderId="0" xfId="0" applyFill="1" applyBorder="1"/>
    <xf numFmtId="0" fontId="6" fillId="0" borderId="2" xfId="0" applyFont="1" applyFill="1" applyBorder="1" applyAlignment="1">
      <alignment horizontal="left" vertical="center" wrapText="1"/>
    </xf>
    <xf numFmtId="2" fontId="3" fillId="0" borderId="3" xfId="0" applyNumberFormat="1" applyFont="1" applyFill="1" applyBorder="1" applyAlignment="1">
      <alignment horizontal="right" vertical="center" wrapText="1"/>
    </xf>
    <xf numFmtId="164" fontId="3" fillId="0" borderId="4" xfId="0" applyNumberFormat="1" applyFont="1" applyFill="1" applyBorder="1" applyAlignment="1">
      <alignment horizontal="right" vertical="center" wrapText="1"/>
    </xf>
    <xf numFmtId="164" fontId="3" fillId="0" borderId="5" xfId="0" applyNumberFormat="1" applyFont="1" applyFill="1" applyBorder="1" applyAlignment="1">
      <alignment horizontal="right" vertical="center" wrapText="1"/>
    </xf>
    <xf numFmtId="0" fontId="3" fillId="0" borderId="2" xfId="0" applyFont="1" applyFill="1" applyBorder="1" applyAlignment="1">
      <alignment vertical="center" wrapText="1"/>
    </xf>
    <xf numFmtId="0" fontId="3" fillId="0" borderId="6" xfId="0" applyFont="1" applyFill="1" applyBorder="1" applyAlignment="1">
      <alignment vertical="center" wrapText="1"/>
    </xf>
    <xf numFmtId="0" fontId="3" fillId="0" borderId="1" xfId="0" applyFont="1" applyFill="1" applyBorder="1" applyAlignment="1">
      <alignment horizontal="right" vertical="center" wrapText="1"/>
    </xf>
    <xf numFmtId="0" fontId="7" fillId="0" borderId="7" xfId="0" applyFont="1" applyFill="1" applyBorder="1" applyAlignment="1" applyProtection="1">
      <alignment vertical="center" wrapText="1"/>
      <protection locked="0"/>
    </xf>
    <xf numFmtId="164" fontId="3" fillId="0" borderId="8" xfId="0" applyNumberFormat="1" applyFont="1" applyFill="1" applyBorder="1" applyAlignment="1" applyProtection="1">
      <alignment horizontal="right" vertical="center" wrapText="1"/>
      <protection locked="0"/>
    </xf>
    <xf numFmtId="164" fontId="3" fillId="0" borderId="9" xfId="0" applyNumberFormat="1" applyFont="1" applyFill="1" applyBorder="1" applyAlignment="1" applyProtection="1">
      <alignment horizontal="right" vertical="center" wrapText="1"/>
      <protection locked="0"/>
    </xf>
    <xf numFmtId="0" fontId="3" fillId="0" borderId="2" xfId="0" applyFont="1" applyFill="1" applyBorder="1" applyAlignment="1" applyProtection="1">
      <alignment vertical="center" wrapText="1"/>
      <protection locked="0"/>
    </xf>
    <xf numFmtId="164" fontId="3" fillId="0" borderId="10" xfId="0" applyNumberFormat="1" applyFont="1" applyFill="1" applyBorder="1" applyAlignment="1" applyProtection="1">
      <alignment horizontal="right" vertical="center" wrapText="1"/>
      <protection locked="0"/>
    </xf>
    <xf numFmtId="164" fontId="3" fillId="0" borderId="11" xfId="0" applyNumberFormat="1" applyFont="1" applyFill="1" applyBorder="1" applyAlignment="1" applyProtection="1">
      <alignment horizontal="right" vertical="center" wrapText="1"/>
      <protection locked="0"/>
    </xf>
    <xf numFmtId="0" fontId="3" fillId="0" borderId="0" xfId="0" applyFont="1" applyFill="1" applyBorder="1" applyAlignment="1">
      <alignment vertical="center" wrapText="1"/>
    </xf>
    <xf numFmtId="0" fontId="3" fillId="0" borderId="7" xfId="0" applyFont="1" applyFill="1" applyBorder="1" applyAlignment="1" applyProtection="1">
      <alignment vertical="center" wrapText="1"/>
      <protection locked="0"/>
    </xf>
    <xf numFmtId="164" fontId="0" fillId="0" borderId="6" xfId="0" applyNumberFormat="1" applyFill="1" applyBorder="1" applyAlignment="1">
      <alignment vertical="center" wrapText="1"/>
    </xf>
    <xf numFmtId="164" fontId="0" fillId="0" borderId="1" xfId="0" applyNumberFormat="1" applyFill="1" applyBorder="1" applyAlignment="1">
      <alignment vertical="center" wrapText="1"/>
    </xf>
    <xf numFmtId="0" fontId="7" fillId="0" borderId="12" xfId="0" applyFont="1" applyFill="1" applyBorder="1" applyAlignment="1" applyProtection="1">
      <alignment vertical="center" wrapText="1"/>
      <protection locked="0"/>
    </xf>
    <xf numFmtId="164" fontId="2" fillId="0" borderId="6" xfId="0" applyNumberFormat="1" applyFont="1" applyFill="1" applyBorder="1" applyAlignment="1" applyProtection="1">
      <alignment vertical="center" wrapText="1"/>
      <protection locked="0"/>
    </xf>
    <xf numFmtId="164" fontId="2" fillId="0" borderId="1" xfId="0" applyNumberFormat="1" applyFont="1" applyFill="1" applyBorder="1" applyAlignment="1" applyProtection="1">
      <alignment vertical="center" wrapText="1"/>
      <protection locked="0"/>
    </xf>
    <xf numFmtId="0" fontId="3" fillId="0" borderId="12" xfId="0" applyFont="1" applyFill="1" applyBorder="1" applyAlignment="1" applyProtection="1">
      <alignment vertical="center" wrapText="1"/>
      <protection locked="0"/>
    </xf>
    <xf numFmtId="0" fontId="5" fillId="0" borderId="2" xfId="0" applyFont="1" applyFill="1" applyBorder="1" applyAlignment="1">
      <alignment vertical="center" wrapText="1"/>
    </xf>
    <xf numFmtId="0" fontId="3" fillId="0" borderId="13" xfId="0" applyFont="1" applyFill="1" applyBorder="1" applyAlignment="1">
      <alignment vertical="center" wrapText="1"/>
    </xf>
    <xf numFmtId="0" fontId="3" fillId="0" borderId="14" xfId="0" applyFont="1" applyFill="1" applyBorder="1" applyAlignment="1">
      <alignment vertical="center" wrapText="1"/>
    </xf>
    <xf numFmtId="0" fontId="3" fillId="0" borderId="15" xfId="0" applyFont="1" applyFill="1" applyBorder="1" applyAlignment="1">
      <alignment horizontal="right" vertical="center" wrapText="1"/>
    </xf>
    <xf numFmtId="0" fontId="3" fillId="0" borderId="16" xfId="0" applyFont="1" applyFill="1" applyBorder="1" applyAlignment="1">
      <alignment vertical="center" wrapText="1"/>
    </xf>
    <xf numFmtId="0" fontId="3" fillId="0" borderId="17" xfId="0" applyFont="1" applyFill="1" applyBorder="1" applyAlignment="1">
      <alignment vertical="center" wrapText="1"/>
    </xf>
    <xf numFmtId="0" fontId="3" fillId="0" borderId="18" xfId="0" applyFont="1" applyFill="1" applyBorder="1" applyAlignment="1">
      <alignment horizontal="right" vertical="center" wrapText="1"/>
    </xf>
    <xf numFmtId="164" fontId="3" fillId="0" borderId="6" xfId="0" applyNumberFormat="1" applyFont="1" applyFill="1" applyBorder="1" applyAlignment="1" applyProtection="1">
      <alignment horizontal="right" vertical="center" wrapText="1"/>
      <protection locked="0"/>
    </xf>
    <xf numFmtId="164" fontId="3" fillId="0" borderId="1" xfId="0" applyNumberFormat="1" applyFont="1" applyFill="1" applyBorder="1" applyAlignment="1" applyProtection="1">
      <alignment horizontal="right" vertical="center" wrapText="1"/>
      <protection locked="0"/>
    </xf>
    <xf numFmtId="0" fontId="3" fillId="0" borderId="13" xfId="0" applyFont="1" applyFill="1" applyBorder="1" applyAlignment="1">
      <alignment wrapText="1"/>
    </xf>
    <xf numFmtId="164" fontId="3" fillId="0" borderId="19" xfId="0" applyNumberFormat="1" applyFont="1" applyFill="1" applyBorder="1" applyAlignment="1" applyProtection="1">
      <alignment horizontal="right" vertical="center" wrapText="1"/>
      <protection locked="0"/>
    </xf>
    <xf numFmtId="0" fontId="0" fillId="0" borderId="2" xfId="0" applyFill="1" applyBorder="1"/>
    <xf numFmtId="0" fontId="0" fillId="0" borderId="6" xfId="0" applyFill="1" applyBorder="1"/>
    <xf numFmtId="0" fontId="0" fillId="0" borderId="1" xfId="0" applyFill="1" applyBorder="1"/>
    <xf numFmtId="164" fontId="4" fillId="0" borderId="4" xfId="0" applyNumberFormat="1" applyFont="1" applyFill="1" applyBorder="1" applyAlignment="1" applyProtection="1">
      <alignment horizontal="right" vertical="center" wrapText="1"/>
      <protection locked="0"/>
    </xf>
    <xf numFmtId="164" fontId="3" fillId="0" borderId="4" xfId="0" applyNumberFormat="1" applyFont="1" applyFill="1" applyBorder="1" applyAlignment="1" applyProtection="1">
      <alignment horizontal="right" vertical="center" wrapText="1"/>
      <protection locked="0"/>
    </xf>
    <xf numFmtId="0" fontId="5" fillId="0" borderId="0" xfId="0" applyFont="1" applyFill="1" applyBorder="1" applyAlignment="1">
      <alignment vertical="center" wrapText="1"/>
    </xf>
    <xf numFmtId="2" fontId="5" fillId="0" borderId="1" xfId="0" applyNumberFormat="1" applyFont="1" applyFill="1" applyBorder="1" applyAlignment="1">
      <alignment horizontal="right" vertical="center" wrapText="1"/>
    </xf>
    <xf numFmtId="0" fontId="4" fillId="0" borderId="0" xfId="0" applyFont="1" applyFill="1" applyBorder="1" applyAlignment="1">
      <alignment vertical="center" wrapText="1"/>
    </xf>
    <xf numFmtId="0" fontId="0" fillId="0" borderId="13" xfId="0" applyFill="1" applyBorder="1"/>
    <xf numFmtId="0" fontId="0" fillId="0" borderId="20" xfId="0" applyFill="1" applyBorder="1"/>
    <xf numFmtId="0" fontId="3" fillId="0" borderId="1" xfId="0" applyFont="1" applyFill="1" applyBorder="1" applyAlignment="1" applyProtection="1">
      <alignment horizontal="right" vertical="center" wrapText="1"/>
      <protection locked="0"/>
    </xf>
    <xf numFmtId="0" fontId="1" fillId="2" borderId="15" xfId="0" applyFont="1" applyFill="1" applyBorder="1" applyAlignment="1" applyProtection="1">
      <alignment horizontal="center" vertical="center" wrapText="1"/>
    </xf>
    <xf numFmtId="0" fontId="1" fillId="2" borderId="0" xfId="0" applyFont="1" applyFill="1" applyBorder="1" applyAlignment="1" applyProtection="1">
      <alignment horizontal="center" vertical="center" wrapText="1"/>
    </xf>
    <xf numFmtId="0" fontId="1" fillId="2" borderId="0" xfId="0" applyFont="1" applyFill="1" applyBorder="1" applyAlignment="1" applyProtection="1">
      <alignment horizontal="left" vertical="center" wrapText="1"/>
    </xf>
    <xf numFmtId="0" fontId="0" fillId="2" borderId="0" xfId="0" applyFill="1" applyAlignment="1" applyProtection="1"/>
    <xf numFmtId="0" fontId="4" fillId="0" borderId="20" xfId="0" applyFont="1" applyBorder="1" applyAlignment="1" applyProtection="1">
      <alignment horizontal="center" vertical="center" wrapText="1"/>
    </xf>
    <xf numFmtId="0" fontId="4" fillId="0" borderId="15" xfId="0" applyFont="1" applyBorder="1" applyAlignment="1" applyProtection="1">
      <alignment horizontal="center" vertical="center" wrapText="1"/>
    </xf>
    <xf numFmtId="0" fontId="4" fillId="0" borderId="0" xfId="0" applyFont="1" applyAlignment="1" applyProtection="1">
      <alignment vertical="center" wrapText="1"/>
    </xf>
    <xf numFmtId="0" fontId="4" fillId="0" borderId="1" xfId="0" applyFont="1" applyBorder="1" applyAlignment="1" applyProtection="1">
      <alignment vertical="center" wrapText="1"/>
    </xf>
    <xf numFmtId="0" fontId="4" fillId="0" borderId="2" xfId="0" applyFont="1" applyFill="1" applyBorder="1" applyAlignment="1" applyProtection="1">
      <alignment vertical="center" wrapText="1"/>
    </xf>
    <xf numFmtId="0" fontId="3" fillId="0" borderId="2" xfId="0" applyFont="1" applyFill="1" applyBorder="1" applyAlignment="1" applyProtection="1">
      <alignment vertical="center" wrapText="1"/>
    </xf>
    <xf numFmtId="0" fontId="3" fillId="0" borderId="0" xfId="0" applyFont="1" applyAlignment="1" applyProtection="1">
      <alignment vertical="center" wrapText="1"/>
    </xf>
    <xf numFmtId="0" fontId="3" fillId="0" borderId="1" xfId="0" applyFont="1" applyBorder="1" applyAlignment="1" applyProtection="1">
      <alignment vertical="center" wrapText="1"/>
    </xf>
    <xf numFmtId="164" fontId="0" fillId="0" borderId="6" xfId="0" applyNumberFormat="1" applyFill="1" applyBorder="1" applyAlignment="1" applyProtection="1">
      <alignment vertical="center" wrapText="1"/>
    </xf>
    <xf numFmtId="164" fontId="0" fillId="0" borderId="1" xfId="0" applyNumberFormat="1" applyFill="1" applyBorder="1" applyAlignment="1" applyProtection="1">
      <alignment vertical="center" wrapText="1"/>
    </xf>
    <xf numFmtId="0" fontId="7" fillId="0" borderId="2" xfId="0" applyFont="1" applyFill="1" applyBorder="1" applyAlignment="1" applyProtection="1">
      <alignment vertical="center" wrapText="1"/>
      <protection locked="0"/>
    </xf>
    <xf numFmtId="164" fontId="0" fillId="0" borderId="6" xfId="0" applyNumberFormat="1" applyFill="1" applyBorder="1" applyAlignment="1" applyProtection="1">
      <alignment vertical="center" wrapText="1"/>
      <protection locked="0"/>
    </xf>
    <xf numFmtId="164" fontId="0" fillId="0" borderId="1" xfId="0" applyNumberFormat="1" applyFill="1" applyBorder="1" applyAlignment="1" applyProtection="1">
      <alignment vertical="center" wrapText="1"/>
      <protection locked="0"/>
    </xf>
    <xf numFmtId="0" fontId="2" fillId="0" borderId="6" xfId="0" applyFont="1" applyFill="1" applyBorder="1" applyAlignment="1" applyProtection="1">
      <alignment vertical="center" wrapText="1"/>
      <protection locked="0"/>
    </xf>
    <xf numFmtId="0" fontId="2" fillId="0" borderId="1" xfId="0" applyFont="1" applyFill="1" applyBorder="1" applyAlignment="1" applyProtection="1">
      <alignment vertical="center" wrapText="1"/>
      <protection locked="0"/>
    </xf>
    <xf numFmtId="0" fontId="0" fillId="0" borderId="6" xfId="0" applyFill="1" applyBorder="1" applyAlignment="1" applyProtection="1">
      <alignment vertical="center" wrapText="1"/>
      <protection locked="0"/>
    </xf>
    <xf numFmtId="0" fontId="0" fillId="0" borderId="1" xfId="0" applyFill="1" applyBorder="1" applyAlignment="1" applyProtection="1">
      <alignment vertical="center" wrapText="1"/>
      <protection locked="0"/>
    </xf>
    <xf numFmtId="0" fontId="0" fillId="0" borderId="21" xfId="0" applyFill="1" applyBorder="1" applyAlignment="1" applyProtection="1">
      <protection locked="0"/>
    </xf>
    <xf numFmtId="0" fontId="3" fillId="0" borderId="16" xfId="0" applyFont="1" applyFill="1" applyBorder="1" applyAlignment="1" applyProtection="1">
      <alignment vertical="center" wrapText="1"/>
    </xf>
    <xf numFmtId="0" fontId="3" fillId="0" borderId="22" xfId="0" applyFont="1" applyFill="1" applyBorder="1" applyAlignment="1" applyProtection="1">
      <alignment vertical="center" wrapText="1"/>
    </xf>
    <xf numFmtId="0" fontId="3" fillId="0" borderId="18" xfId="0" applyFont="1" applyFill="1" applyBorder="1" applyAlignment="1" applyProtection="1">
      <alignment horizontal="right" vertical="center" wrapText="1"/>
    </xf>
    <xf numFmtId="0" fontId="4" fillId="0" borderId="0" xfId="0" applyFont="1" applyFill="1" applyBorder="1" applyAlignment="1" applyProtection="1">
      <alignment horizontal="left" vertical="center" wrapText="1"/>
    </xf>
    <xf numFmtId="0" fontId="4" fillId="0" borderId="0" xfId="0" applyFont="1" applyFill="1" applyBorder="1" applyAlignment="1" applyProtection="1">
      <alignment horizontal="center" vertical="center" wrapText="1"/>
    </xf>
    <xf numFmtId="0" fontId="4" fillId="0" borderId="1" xfId="0" applyFont="1" applyFill="1" applyBorder="1" applyAlignment="1" applyProtection="1">
      <alignment horizontal="center" vertical="center" wrapText="1"/>
    </xf>
    <xf numFmtId="164" fontId="4" fillId="0" borderId="19" xfId="0" applyNumberFormat="1" applyFont="1" applyFill="1" applyBorder="1" applyAlignment="1" applyProtection="1">
      <alignment horizontal="right" vertical="center" wrapText="1"/>
    </xf>
    <xf numFmtId="164" fontId="4" fillId="0" borderId="9" xfId="0" applyNumberFormat="1" applyFont="1" applyFill="1" applyBorder="1" applyAlignment="1" applyProtection="1">
      <alignment horizontal="right" vertical="center" wrapText="1"/>
    </xf>
    <xf numFmtId="0" fontId="3" fillId="0" borderId="6" xfId="0" applyFont="1" applyFill="1" applyBorder="1" applyAlignment="1" applyProtection="1">
      <alignment vertical="center" wrapText="1"/>
    </xf>
    <xf numFmtId="0" fontId="3" fillId="0" borderId="1" xfId="0" applyFont="1" applyFill="1" applyBorder="1" applyAlignment="1" applyProtection="1">
      <alignment horizontal="right" vertical="center" wrapText="1"/>
    </xf>
    <xf numFmtId="0" fontId="0" fillId="0" borderId="6" xfId="0" applyFill="1" applyBorder="1" applyAlignment="1" applyProtection="1">
      <alignment vertical="center" wrapText="1"/>
    </xf>
    <xf numFmtId="0" fontId="0" fillId="0" borderId="1" xfId="0" applyFill="1" applyBorder="1" applyAlignment="1" applyProtection="1">
      <alignment vertical="center" wrapText="1"/>
    </xf>
    <xf numFmtId="0" fontId="3" fillId="0" borderId="7" xfId="0" applyFont="1" applyFill="1" applyBorder="1" applyAlignment="1" applyProtection="1">
      <alignment vertical="center" wrapText="1"/>
    </xf>
    <xf numFmtId="164" fontId="5" fillId="0" borderId="8" xfId="0" applyNumberFormat="1" applyFont="1" applyFill="1" applyBorder="1" applyAlignment="1">
      <alignment vertical="center" wrapText="1"/>
    </xf>
    <xf numFmtId="164" fontId="5" fillId="0" borderId="9" xfId="0" applyNumberFormat="1" applyFont="1" applyFill="1" applyBorder="1" applyAlignment="1">
      <alignment vertical="center" wrapText="1"/>
    </xf>
    <xf numFmtId="0" fontId="4" fillId="0" borderId="2" xfId="0" applyFont="1" applyFill="1" applyBorder="1" applyAlignment="1">
      <alignment vertical="center" wrapText="1"/>
    </xf>
    <xf numFmtId="0" fontId="4" fillId="0" borderId="6"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0" fillId="0" borderId="6" xfId="0" applyFill="1" applyBorder="1" applyAlignment="1">
      <alignment vertical="center" wrapText="1"/>
    </xf>
    <xf numFmtId="0" fontId="0" fillId="0" borderId="1" xfId="0" applyFill="1" applyBorder="1" applyAlignment="1">
      <alignment vertical="center" wrapText="1"/>
    </xf>
    <xf numFmtId="0" fontId="3" fillId="0" borderId="2" xfId="0" applyFont="1" applyFill="1" applyBorder="1" applyAlignment="1">
      <alignment horizontal="left" vertical="center" wrapText="1"/>
    </xf>
    <xf numFmtId="164" fontId="4" fillId="0" borderId="8" xfId="0" applyNumberFormat="1" applyFont="1" applyFill="1" applyBorder="1" applyAlignment="1">
      <alignment vertical="center" wrapText="1"/>
    </xf>
    <xf numFmtId="164" fontId="4" fillId="0" borderId="9" xfId="0" applyNumberFormat="1" applyFont="1" applyFill="1" applyBorder="1" applyAlignment="1">
      <alignment vertical="center" wrapText="1"/>
    </xf>
    <xf numFmtId="0" fontId="4" fillId="0" borderId="2" xfId="0" applyFont="1" applyFill="1" applyBorder="1"/>
    <xf numFmtId="0" fontId="4" fillId="0" borderId="2" xfId="0" applyFont="1" applyFill="1" applyBorder="1" applyAlignment="1" applyProtection="1">
      <alignment horizontal="left" vertical="center" wrapText="1"/>
    </xf>
    <xf numFmtId="164" fontId="4" fillId="0" borderId="4" xfId="0" applyNumberFormat="1" applyFont="1" applyFill="1" applyBorder="1" applyAlignment="1">
      <alignment horizontal="right" vertical="center" wrapText="1"/>
    </xf>
    <xf numFmtId="2" fontId="3" fillId="0" borderId="1" xfId="0" applyNumberFormat="1" applyFont="1" applyFill="1" applyBorder="1" applyAlignment="1">
      <alignment horizontal="right" vertical="center" wrapText="1"/>
    </xf>
    <xf numFmtId="0" fontId="0" fillId="0" borderId="0" xfId="0" applyAlignment="1">
      <alignment vertical="center"/>
    </xf>
    <xf numFmtId="44" fontId="0" fillId="0" borderId="0" xfId="1" applyFont="1" applyAlignment="1">
      <alignment vertical="center"/>
    </xf>
    <xf numFmtId="0" fontId="14" fillId="0" borderId="26" xfId="0" applyFont="1" applyBorder="1" applyAlignment="1">
      <alignment vertical="center"/>
    </xf>
    <xf numFmtId="0" fontId="0" fillId="0" borderId="26" xfId="0" applyBorder="1" applyAlignment="1">
      <alignment vertical="center"/>
    </xf>
    <xf numFmtId="0" fontId="0" fillId="0" borderId="26" xfId="0" applyBorder="1" applyAlignment="1">
      <alignment vertical="center" wrapText="1"/>
    </xf>
    <xf numFmtId="44" fontId="0" fillId="0" borderId="26" xfId="1" applyFont="1" applyBorder="1" applyAlignment="1">
      <alignment vertical="center"/>
    </xf>
    <xf numFmtId="0" fontId="0" fillId="0" borderId="26" xfId="0" applyBorder="1" applyAlignment="1">
      <alignment horizontal="center" vertical="center"/>
    </xf>
    <xf numFmtId="0" fontId="14" fillId="0" borderId="26" xfId="0" applyFont="1" applyBorder="1" applyAlignment="1">
      <alignment vertical="center" wrapText="1"/>
    </xf>
    <xf numFmtId="0" fontId="14" fillId="0" borderId="26" xfId="0" applyFont="1" applyBorder="1"/>
    <xf numFmtId="0" fontId="0" fillId="0" borderId="26" xfId="0" applyBorder="1" applyAlignment="1">
      <alignment horizontal="left" vertical="center" wrapText="1"/>
    </xf>
    <xf numFmtId="165" fontId="0" fillId="0" borderId="26" xfId="0" applyNumberFormat="1" applyBorder="1" applyAlignment="1">
      <alignment horizontal="center" vertical="center" wrapText="1"/>
    </xf>
    <xf numFmtId="165" fontId="0" fillId="0" borderId="26" xfId="0" applyNumberFormat="1" applyBorder="1" applyAlignment="1">
      <alignment horizontal="center" vertical="center"/>
    </xf>
    <xf numFmtId="165" fontId="14" fillId="0" borderId="26" xfId="0" applyNumberFormat="1" applyFont="1" applyBorder="1"/>
    <xf numFmtId="44" fontId="0" fillId="0" borderId="0" xfId="1" applyFont="1"/>
    <xf numFmtId="165" fontId="0" fillId="0" borderId="0" xfId="0" applyNumberFormat="1"/>
    <xf numFmtId="165" fontId="14" fillId="0" borderId="0" xfId="0" applyNumberFormat="1" applyFont="1"/>
    <xf numFmtId="0" fontId="14" fillId="0" borderId="26" xfId="0" applyFont="1" applyBorder="1" applyAlignment="1"/>
    <xf numFmtId="44" fontId="0" fillId="0" borderId="0" xfId="0" applyNumberFormat="1"/>
    <xf numFmtId="0" fontId="14" fillId="0" borderId="31" xfId="0" applyFont="1" applyBorder="1"/>
    <xf numFmtId="165" fontId="0" fillId="0" borderId="31" xfId="0" applyNumberFormat="1" applyBorder="1" applyAlignment="1">
      <alignment horizontal="center" vertical="center"/>
    </xf>
    <xf numFmtId="0" fontId="0" fillId="0" borderId="26" xfId="0" applyBorder="1"/>
    <xf numFmtId="0" fontId="14" fillId="0" borderId="26" xfId="0" applyFont="1" applyBorder="1" applyAlignment="1">
      <alignment horizontal="center" vertical="center"/>
    </xf>
    <xf numFmtId="165" fontId="14" fillId="0" borderId="26" xfId="0" applyNumberFormat="1" applyFont="1" applyBorder="1" applyAlignment="1">
      <alignment vertical="center"/>
    </xf>
    <xf numFmtId="165" fontId="14" fillId="7" borderId="0" xfId="0" applyNumberFormat="1" applyFont="1" applyFill="1"/>
    <xf numFmtId="0" fontId="0" fillId="0" borderId="26" xfId="0" applyBorder="1" applyAlignment="1">
      <alignment horizontal="left"/>
    </xf>
    <xf numFmtId="14" fontId="0" fillId="0" borderId="26" xfId="0" applyNumberFormat="1" applyBorder="1"/>
    <xf numFmtId="165" fontId="0" fillId="0" borderId="26" xfId="0" applyNumberFormat="1" applyBorder="1"/>
    <xf numFmtId="15" fontId="0" fillId="0" borderId="26" xfId="0" applyNumberFormat="1" applyBorder="1" applyAlignment="1">
      <alignment horizontal="left"/>
    </xf>
    <xf numFmtId="14" fontId="0" fillId="0" borderId="26" xfId="0" applyNumberFormat="1" applyFill="1" applyBorder="1"/>
    <xf numFmtId="14" fontId="0" fillId="0" borderId="26" xfId="0" applyNumberFormat="1" applyFill="1" applyBorder="1" applyAlignment="1">
      <alignment horizontal="center" vertical="center"/>
    </xf>
    <xf numFmtId="14" fontId="0" fillId="0" borderId="26" xfId="0" applyNumberFormat="1" applyBorder="1" applyAlignment="1">
      <alignment horizontal="center" vertical="center"/>
    </xf>
    <xf numFmtId="15" fontId="0" fillId="0" borderId="26" xfId="0" applyNumberFormat="1" applyBorder="1"/>
    <xf numFmtId="165" fontId="0" fillId="0" borderId="26" xfId="0" applyNumberFormat="1" applyFill="1" applyBorder="1"/>
    <xf numFmtId="165" fontId="0" fillId="7" borderId="26" xfId="0" applyNumberFormat="1" applyFill="1" applyBorder="1"/>
    <xf numFmtId="0" fontId="0" fillId="0" borderId="26" xfId="0" applyFill="1" applyBorder="1"/>
    <xf numFmtId="0" fontId="0" fillId="0" borderId="26" xfId="0" applyFill="1" applyBorder="1" applyAlignment="1">
      <alignment horizontal="left"/>
    </xf>
    <xf numFmtId="0" fontId="0" fillId="6" borderId="26" xfId="0" applyFill="1" applyBorder="1"/>
    <xf numFmtId="165" fontId="16" fillId="0" borderId="0" xfId="0" applyNumberFormat="1" applyFont="1"/>
    <xf numFmtId="0" fontId="0" fillId="0" borderId="0" xfId="0" applyBorder="1" applyAlignment="1">
      <alignment horizontal="center" vertical="center"/>
    </xf>
    <xf numFmtId="0" fontId="0" fillId="0" borderId="0" xfId="0" applyBorder="1" applyAlignment="1">
      <alignment vertical="center" wrapText="1"/>
    </xf>
    <xf numFmtId="44" fontId="0" fillId="0" borderId="0" xfId="1" applyFont="1" applyBorder="1" applyAlignment="1">
      <alignment horizontal="center" vertical="center"/>
    </xf>
    <xf numFmtId="0" fontId="1" fillId="2" borderId="2" xfId="0" applyFont="1" applyFill="1" applyBorder="1" applyAlignment="1" applyProtection="1">
      <alignment horizontal="left" vertical="center" wrapText="1"/>
    </xf>
    <xf numFmtId="0" fontId="0" fillId="2" borderId="0" xfId="0" applyFill="1" applyAlignment="1" applyProtection="1"/>
    <xf numFmtId="0" fontId="4" fillId="0" borderId="13" xfId="0" applyFont="1" applyFill="1" applyBorder="1" applyAlignment="1" applyProtection="1">
      <alignment horizontal="justify" vertical="center" wrapText="1"/>
    </xf>
    <xf numFmtId="0" fontId="4" fillId="0" borderId="20" xfId="0" applyFont="1" applyFill="1" applyBorder="1" applyAlignment="1" applyProtection="1">
      <alignment horizontal="justify" vertical="center" wrapText="1"/>
    </xf>
    <xf numFmtId="0" fontId="4" fillId="0" borderId="22" xfId="0" applyFont="1" applyBorder="1" applyAlignment="1" applyProtection="1">
      <alignment vertical="center" wrapText="1"/>
    </xf>
    <xf numFmtId="0" fontId="4" fillId="0" borderId="18" xfId="0" applyFont="1" applyBorder="1" applyAlignment="1" applyProtection="1">
      <alignment vertical="center" wrapText="1"/>
    </xf>
    <xf numFmtId="0" fontId="4" fillId="0" borderId="16" xfId="0" applyFont="1" applyFill="1" applyBorder="1" applyAlignment="1" applyProtection="1">
      <alignment vertical="center" wrapText="1"/>
    </xf>
    <xf numFmtId="0" fontId="4" fillId="0" borderId="22" xfId="0" applyFont="1" applyFill="1" applyBorder="1" applyAlignment="1" applyProtection="1">
      <alignment vertical="center" wrapText="1"/>
    </xf>
    <xf numFmtId="0" fontId="4" fillId="0" borderId="18" xfId="0" applyFont="1" applyFill="1" applyBorder="1" applyAlignment="1" applyProtection="1">
      <alignment vertical="center" wrapText="1"/>
    </xf>
    <xf numFmtId="0" fontId="3" fillId="0" borderId="0" xfId="0" applyFont="1" applyAlignment="1">
      <alignment vertical="center" wrapText="1"/>
    </xf>
    <xf numFmtId="0" fontId="3" fillId="0" borderId="1" xfId="0" applyFont="1" applyBorder="1" applyAlignment="1">
      <alignment vertical="center" wrapText="1"/>
    </xf>
    <xf numFmtId="0" fontId="4" fillId="0" borderId="0" xfId="0" applyFont="1" applyAlignment="1" applyProtection="1">
      <alignment vertical="center" wrapText="1"/>
    </xf>
    <xf numFmtId="0" fontId="4" fillId="0" borderId="1" xfId="0" applyFont="1" applyBorder="1" applyAlignment="1" applyProtection="1">
      <alignment vertical="center" wrapText="1"/>
    </xf>
    <xf numFmtId="0" fontId="3" fillId="0" borderId="0" xfId="0" applyFont="1" applyAlignment="1" applyProtection="1">
      <alignment vertical="center" wrapText="1"/>
    </xf>
    <xf numFmtId="0" fontId="3" fillId="0" borderId="1" xfId="0" applyFont="1" applyBorder="1" applyAlignment="1" applyProtection="1">
      <alignment vertical="center" wrapText="1"/>
    </xf>
    <xf numFmtId="0" fontId="4" fillId="0" borderId="2" xfId="0" applyFont="1" applyFill="1" applyBorder="1" applyAlignment="1">
      <alignment vertical="center" wrapText="1"/>
    </xf>
    <xf numFmtId="0" fontId="0" fillId="0" borderId="0" xfId="0" applyFill="1" applyBorder="1" applyAlignment="1">
      <alignment vertical="center" wrapText="1"/>
    </xf>
    <xf numFmtId="0" fontId="0" fillId="0" borderId="1" xfId="0" applyFill="1" applyBorder="1" applyAlignment="1">
      <alignment vertical="center" wrapText="1"/>
    </xf>
    <xf numFmtId="0" fontId="0" fillId="0" borderId="13" xfId="0" applyFill="1" applyBorder="1" applyAlignment="1" applyProtection="1">
      <alignment horizontal="left" vertical="top" wrapText="1"/>
      <protection locked="0"/>
    </xf>
    <xf numFmtId="0" fontId="0" fillId="0" borderId="14" xfId="0" applyFill="1" applyBorder="1" applyAlignment="1" applyProtection="1">
      <alignment horizontal="left" vertical="top" wrapText="1"/>
      <protection locked="0"/>
    </xf>
    <xf numFmtId="0" fontId="6" fillId="0" borderId="23" xfId="0" applyFont="1" applyFill="1" applyBorder="1" applyAlignment="1" applyProtection="1">
      <alignment horizontal="left" vertical="center" wrapText="1"/>
      <protection locked="0"/>
    </xf>
    <xf numFmtId="0" fontId="0" fillId="0" borderId="24" xfId="0" applyFill="1" applyBorder="1" applyAlignment="1" applyProtection="1">
      <alignment vertical="center" wrapText="1"/>
      <protection locked="0"/>
    </xf>
    <xf numFmtId="0" fontId="6" fillId="0" borderId="7" xfId="0" applyFont="1" applyFill="1" applyBorder="1" applyAlignment="1" applyProtection="1">
      <alignment horizontal="left" vertical="center" wrapText="1"/>
      <protection locked="0"/>
    </xf>
    <xf numFmtId="0" fontId="0" fillId="0" borderId="25" xfId="0" applyFill="1" applyBorder="1" applyAlignment="1" applyProtection="1">
      <alignment vertical="center" wrapText="1"/>
      <protection locked="0"/>
    </xf>
    <xf numFmtId="0" fontId="4" fillId="0" borderId="2" xfId="0" applyFont="1" applyFill="1" applyBorder="1" applyAlignment="1">
      <alignment vertical="center"/>
    </xf>
    <xf numFmtId="0" fontId="0" fillId="0" borderId="0" xfId="0" applyFill="1" applyBorder="1" applyAlignment="1">
      <alignment vertical="center"/>
    </xf>
    <xf numFmtId="0" fontId="9" fillId="0" borderId="2" xfId="0" applyFont="1" applyBorder="1" applyAlignment="1" applyProtection="1">
      <alignment horizontal="justify" vertical="center"/>
      <protection locked="0"/>
    </xf>
    <xf numFmtId="0" fontId="9" fillId="0" borderId="0" xfId="0" applyFont="1" applyBorder="1" applyAlignment="1" applyProtection="1">
      <alignment horizontal="justify" vertical="center"/>
      <protection locked="0"/>
    </xf>
    <xf numFmtId="0" fontId="9" fillId="0" borderId="1" xfId="0" applyFont="1" applyBorder="1" applyAlignment="1" applyProtection="1">
      <alignment horizontal="justify" vertical="center"/>
      <protection locked="0"/>
    </xf>
    <xf numFmtId="0" fontId="8" fillId="0" borderId="16" xfId="0" applyFont="1" applyBorder="1" applyAlignment="1" applyProtection="1">
      <alignment horizontal="center" vertical="center"/>
    </xf>
    <xf numFmtId="0" fontId="8" fillId="0" borderId="22" xfId="0" applyFont="1" applyBorder="1" applyAlignment="1" applyProtection="1">
      <alignment horizontal="center" vertical="center"/>
    </xf>
    <xf numFmtId="0" fontId="8" fillId="0" borderId="18" xfId="0" applyFont="1" applyBorder="1" applyAlignment="1" applyProtection="1">
      <alignment horizontal="center" vertical="center"/>
    </xf>
    <xf numFmtId="0" fontId="8" fillId="0" borderId="2" xfId="0" applyFont="1" applyBorder="1" applyAlignment="1" applyProtection="1">
      <alignment horizontal="center" vertical="center"/>
    </xf>
    <xf numFmtId="0" fontId="8" fillId="0" borderId="0" xfId="0" applyFont="1" applyBorder="1" applyAlignment="1" applyProtection="1">
      <alignment horizontal="center" vertical="center"/>
    </xf>
    <xf numFmtId="0" fontId="8" fillId="0" borderId="1" xfId="0" applyFont="1" applyBorder="1" applyAlignment="1" applyProtection="1">
      <alignment horizontal="center" vertical="center"/>
    </xf>
    <xf numFmtId="0" fontId="9" fillId="0" borderId="2" xfId="0" applyFont="1" applyBorder="1" applyAlignment="1" applyProtection="1">
      <alignment horizontal="center" vertical="center"/>
    </xf>
    <xf numFmtId="0" fontId="9" fillId="0" borderId="0" xfId="0" applyFont="1" applyBorder="1" applyAlignment="1" applyProtection="1">
      <alignment horizontal="center" vertical="center"/>
    </xf>
    <xf numFmtId="0" fontId="9" fillId="0" borderId="1" xfId="0" applyFont="1" applyBorder="1" applyAlignment="1" applyProtection="1">
      <alignment horizontal="center" vertical="center"/>
    </xf>
    <xf numFmtId="0" fontId="10" fillId="0" borderId="2" xfId="0" applyFont="1" applyBorder="1" applyAlignment="1">
      <alignment horizontal="center" vertical="center"/>
    </xf>
    <xf numFmtId="0" fontId="10" fillId="0" borderId="0" xfId="0" applyFont="1" applyBorder="1" applyAlignment="1">
      <alignment horizontal="center" vertical="center"/>
    </xf>
    <xf numFmtId="0" fontId="10" fillId="0" borderId="1" xfId="0" applyFont="1" applyBorder="1" applyAlignment="1">
      <alignment horizontal="center" vertical="center"/>
    </xf>
    <xf numFmtId="0" fontId="9" fillId="0" borderId="2" xfId="0" applyFont="1" applyBorder="1" applyAlignment="1">
      <alignment horizontal="justify" vertical="center"/>
    </xf>
    <xf numFmtId="0" fontId="9" fillId="0" borderId="0" xfId="0" applyFont="1" applyBorder="1" applyAlignment="1">
      <alignment horizontal="justify" vertical="center"/>
    </xf>
    <xf numFmtId="0" fontId="9" fillId="0" borderId="1" xfId="0" applyFont="1" applyBorder="1" applyAlignment="1">
      <alignment horizontal="justify" vertical="center"/>
    </xf>
    <xf numFmtId="0" fontId="9" fillId="0" borderId="2" xfId="0" applyFont="1" applyBorder="1" applyAlignment="1" applyProtection="1">
      <alignment horizontal="justify" vertical="center" wrapText="1"/>
      <protection locked="0"/>
    </xf>
    <xf numFmtId="0" fontId="0" fillId="0" borderId="13" xfId="0" applyBorder="1"/>
    <xf numFmtId="0" fontId="0" fillId="0" borderId="20" xfId="0" applyBorder="1"/>
    <xf numFmtId="0" fontId="0" fillId="0" borderId="15" xfId="0" applyBorder="1"/>
    <xf numFmtId="0" fontId="0" fillId="0" borderId="2" xfId="0" applyBorder="1" applyProtection="1">
      <protection locked="0"/>
    </xf>
    <xf numFmtId="0" fontId="0" fillId="0" borderId="0" xfId="0" applyBorder="1" applyProtection="1">
      <protection locked="0"/>
    </xf>
    <xf numFmtId="0" fontId="0" fillId="0" borderId="1" xfId="0" applyBorder="1" applyProtection="1">
      <protection locked="0"/>
    </xf>
    <xf numFmtId="0" fontId="0" fillId="0" borderId="2" xfId="0" applyBorder="1"/>
    <xf numFmtId="0" fontId="0" fillId="0" borderId="0" xfId="0" applyBorder="1"/>
    <xf numFmtId="0" fontId="0" fillId="0" borderId="1" xfId="0" applyBorder="1"/>
    <xf numFmtId="0" fontId="8" fillId="0" borderId="2" xfId="0" applyFont="1" applyBorder="1" applyAlignment="1">
      <alignment horizontal="justify" vertical="center"/>
    </xf>
    <xf numFmtId="0" fontId="8" fillId="0" borderId="0" xfId="0" applyFont="1" applyBorder="1" applyAlignment="1">
      <alignment horizontal="justify" vertical="center"/>
    </xf>
    <xf numFmtId="0" fontId="8" fillId="0" borderId="1" xfId="0" applyFont="1" applyBorder="1" applyAlignment="1">
      <alignment horizontal="justify" vertical="center"/>
    </xf>
    <xf numFmtId="0" fontId="11" fillId="0" borderId="2" xfId="0" applyFont="1" applyBorder="1" applyAlignment="1" applyProtection="1">
      <alignment horizontal="justify" vertical="center"/>
      <protection locked="0"/>
    </xf>
    <xf numFmtId="0" fontId="11" fillId="0" borderId="0" xfId="0" applyFont="1" applyBorder="1" applyAlignment="1" applyProtection="1">
      <alignment horizontal="justify" vertical="center"/>
      <protection locked="0"/>
    </xf>
    <xf numFmtId="0" fontId="11" fillId="0" borderId="1" xfId="0" applyFont="1" applyBorder="1" applyAlignment="1" applyProtection="1">
      <alignment horizontal="justify" vertical="center"/>
      <protection locked="0"/>
    </xf>
    <xf numFmtId="0" fontId="10" fillId="0" borderId="2" xfId="0" applyFont="1" applyBorder="1" applyAlignment="1">
      <alignment horizontal="justify" vertical="center"/>
    </xf>
    <xf numFmtId="0" fontId="10" fillId="0" borderId="0" xfId="0" applyFont="1" applyBorder="1" applyAlignment="1">
      <alignment horizontal="justify" vertical="center"/>
    </xf>
    <xf numFmtId="0" fontId="10" fillId="0" borderId="1" xfId="0" applyFont="1" applyBorder="1" applyAlignment="1">
      <alignment horizontal="justify" vertical="center"/>
    </xf>
    <xf numFmtId="44" fontId="0" fillId="0" borderId="27" xfId="1" applyFont="1" applyBorder="1" applyAlignment="1">
      <alignment horizontal="center" vertical="center"/>
    </xf>
    <xf numFmtId="44" fontId="0" fillId="0" borderId="28" xfId="1" applyFont="1" applyBorder="1" applyAlignment="1">
      <alignment horizontal="center" vertical="center"/>
    </xf>
    <xf numFmtId="44" fontId="0" fillId="0" borderId="29" xfId="1" applyFont="1"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165" fontId="13" fillId="4" borderId="31" xfId="0" applyNumberFormat="1" applyFont="1" applyFill="1" applyBorder="1" applyAlignment="1">
      <alignment horizontal="center"/>
    </xf>
    <xf numFmtId="165" fontId="13" fillId="4" borderId="32" xfId="0" applyNumberFormat="1" applyFont="1" applyFill="1" applyBorder="1" applyAlignment="1">
      <alignment horizontal="center"/>
    </xf>
    <xf numFmtId="0" fontId="15" fillId="5" borderId="0" xfId="0" applyFont="1" applyFill="1" applyAlignment="1">
      <alignment horizontal="left"/>
    </xf>
    <xf numFmtId="0" fontId="13" fillId="3" borderId="30" xfId="0" applyFont="1" applyFill="1" applyBorder="1" applyAlignment="1">
      <alignment horizontal="center"/>
    </xf>
    <xf numFmtId="165" fontId="13" fillId="3" borderId="31" xfId="0" applyNumberFormat="1" applyFont="1" applyFill="1" applyBorder="1" applyAlignment="1">
      <alignment horizontal="center"/>
    </xf>
    <xf numFmtId="165" fontId="13" fillId="3" borderId="32" xfId="0" applyNumberFormat="1" applyFont="1" applyFill="1" applyBorder="1" applyAlignment="1">
      <alignment horizontal="center"/>
    </xf>
    <xf numFmtId="165" fontId="13" fillId="3" borderId="33" xfId="0" applyNumberFormat="1" applyFont="1" applyFill="1" applyBorder="1" applyAlignment="1">
      <alignment horizontal="center"/>
    </xf>
    <xf numFmtId="0" fontId="13" fillId="4" borderId="30" xfId="0" applyFont="1" applyFill="1" applyBorder="1" applyAlignment="1">
      <alignment horizontal="center"/>
    </xf>
  </cellXfs>
  <cellStyles count="2">
    <cellStyle name="Normale" xfId="0" builtinId="0"/>
    <cellStyle name="Valuta"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05"/>
  <sheetViews>
    <sheetView topLeftCell="A196" zoomScale="110" zoomScaleNormal="110" workbookViewId="0">
      <selection activeCell="C201" sqref="C201:E201"/>
    </sheetView>
  </sheetViews>
  <sheetFormatPr defaultColWidth="8.77734375" defaultRowHeight="14.4" x14ac:dyDescent="0.3"/>
  <cols>
    <col min="1" max="2" width="3.33203125" customWidth="1"/>
    <col min="3" max="3" width="62.6640625" customWidth="1"/>
    <col min="4" max="5" width="20.77734375" customWidth="1"/>
  </cols>
  <sheetData>
    <row r="1" spans="1:6" ht="15.6" thickBot="1" x14ac:dyDescent="0.35">
      <c r="A1" s="57" t="s">
        <v>0</v>
      </c>
      <c r="B1" s="147" t="s">
        <v>7</v>
      </c>
      <c r="C1" s="148"/>
      <c r="D1" s="148"/>
      <c r="E1" s="148"/>
    </row>
    <row r="2" spans="1:6" ht="15" x14ac:dyDescent="0.3">
      <c r="A2" s="58"/>
      <c r="B2" s="59"/>
      <c r="C2" s="60"/>
      <c r="D2" s="60"/>
      <c r="E2" s="60"/>
    </row>
    <row r="3" spans="1:6" ht="15" thickBot="1" x14ac:dyDescent="0.35">
      <c r="A3" s="61" t="s">
        <v>0</v>
      </c>
      <c r="B3" s="62">
        <v>1</v>
      </c>
      <c r="C3" s="149" t="s">
        <v>1</v>
      </c>
      <c r="D3" s="150"/>
      <c r="E3" s="150"/>
    </row>
    <row r="4" spans="1:6" x14ac:dyDescent="0.3">
      <c r="A4" s="151"/>
      <c r="B4" s="152"/>
      <c r="C4" s="153"/>
      <c r="D4" s="154"/>
      <c r="E4" s="155"/>
      <c r="F4" s="12"/>
    </row>
    <row r="5" spans="1:6" ht="49.5" customHeight="1" x14ac:dyDescent="0.3">
      <c r="A5" s="158"/>
      <c r="B5" s="159"/>
      <c r="C5" s="65" t="s">
        <v>8</v>
      </c>
      <c r="D5" s="83" t="s">
        <v>13</v>
      </c>
      <c r="E5" s="84" t="s">
        <v>17</v>
      </c>
      <c r="F5" s="12"/>
    </row>
    <row r="6" spans="1:6" ht="15" customHeight="1" x14ac:dyDescent="0.3">
      <c r="A6" s="63"/>
      <c r="B6" s="64"/>
      <c r="C6" s="65"/>
      <c r="D6" s="85">
        <f>+D145</f>
        <v>50000</v>
      </c>
      <c r="E6" s="86">
        <f>+E145</f>
        <v>50786.034314579243</v>
      </c>
      <c r="F6" s="12"/>
    </row>
    <row r="7" spans="1:6" x14ac:dyDescent="0.3">
      <c r="A7" s="160"/>
      <c r="B7" s="161"/>
      <c r="C7" s="66"/>
      <c r="D7" s="87"/>
      <c r="E7" s="88"/>
      <c r="F7" s="12"/>
    </row>
    <row r="8" spans="1:6" ht="22.8" x14ac:dyDescent="0.3">
      <c r="A8" s="67"/>
      <c r="B8" s="68"/>
      <c r="C8" s="66" t="s">
        <v>18</v>
      </c>
      <c r="D8" s="89"/>
      <c r="E8" s="90"/>
      <c r="F8" s="12"/>
    </row>
    <row r="9" spans="1:6" ht="15" customHeight="1" x14ac:dyDescent="0.3">
      <c r="A9" s="1"/>
      <c r="B9" s="2"/>
      <c r="C9" s="24"/>
      <c r="D9" s="42"/>
      <c r="E9" s="56"/>
      <c r="F9" s="12"/>
    </row>
    <row r="10" spans="1:6" ht="15" customHeight="1" x14ac:dyDescent="0.3">
      <c r="A10" s="1"/>
      <c r="B10" s="2"/>
      <c r="C10" s="24" t="s">
        <v>38</v>
      </c>
      <c r="D10" s="42">
        <v>6468</v>
      </c>
      <c r="E10" s="23"/>
      <c r="F10" s="12"/>
    </row>
    <row r="11" spans="1:6" ht="15" customHeight="1" x14ac:dyDescent="0.3">
      <c r="A11" s="1"/>
      <c r="B11" s="2"/>
      <c r="C11" s="24" t="s">
        <v>62</v>
      </c>
      <c r="D11" s="25"/>
      <c r="E11" s="26">
        <f>+'Personale dipendente G-LAB'!J3</f>
        <v>4980.1512000000002</v>
      </c>
      <c r="F11" s="12"/>
    </row>
    <row r="12" spans="1:6" ht="22.8" x14ac:dyDescent="0.3">
      <c r="A12" s="1"/>
      <c r="B12" s="2"/>
      <c r="C12" s="24" t="s">
        <v>63</v>
      </c>
      <c r="D12" s="22"/>
      <c r="E12" s="23">
        <f>+'Personale dipendente G-LAB'!J4</f>
        <v>4449.1776</v>
      </c>
      <c r="F12" s="12"/>
    </row>
    <row r="13" spans="1:6" ht="15" customHeight="1" x14ac:dyDescent="0.3">
      <c r="A13" s="1"/>
      <c r="B13" s="2"/>
      <c r="C13" s="24"/>
      <c r="D13" s="25"/>
      <c r="E13" s="26"/>
      <c r="F13" s="12"/>
    </row>
    <row r="14" spans="1:6" ht="15" customHeight="1" x14ac:dyDescent="0.3">
      <c r="A14" s="1"/>
      <c r="B14" s="2"/>
      <c r="C14" s="24"/>
      <c r="D14" s="42"/>
      <c r="E14" s="43"/>
      <c r="F14" s="12"/>
    </row>
    <row r="15" spans="1:6" x14ac:dyDescent="0.3">
      <c r="A15" s="1"/>
      <c r="B15" s="2"/>
      <c r="C15" s="21"/>
      <c r="D15" s="22"/>
      <c r="E15" s="23"/>
      <c r="F15" s="12"/>
    </row>
    <row r="16" spans="1:6" ht="21" customHeight="1" x14ac:dyDescent="0.3">
      <c r="A16" s="1"/>
      <c r="B16" s="7"/>
      <c r="C16" s="91" t="s">
        <v>19</v>
      </c>
      <c r="D16" s="69"/>
      <c r="E16" s="70"/>
      <c r="F16" s="12"/>
    </row>
    <row r="17" spans="1:6" ht="15" customHeight="1" x14ac:dyDescent="0.3">
      <c r="A17" s="1"/>
      <c r="B17" s="2"/>
      <c r="C17" s="24" t="s">
        <v>38</v>
      </c>
      <c r="D17" s="42">
        <v>13112</v>
      </c>
      <c r="E17" s="43"/>
      <c r="F17" s="12"/>
    </row>
    <row r="18" spans="1:6" x14ac:dyDescent="0.3">
      <c r="A18" s="1"/>
      <c r="B18" s="2"/>
      <c r="C18" s="24" t="s">
        <v>66</v>
      </c>
      <c r="D18" s="22"/>
      <c r="E18" s="23">
        <v>367.44</v>
      </c>
      <c r="F18" s="12"/>
    </row>
    <row r="19" spans="1:6" x14ac:dyDescent="0.3">
      <c r="A19" s="1"/>
      <c r="B19" s="2"/>
      <c r="C19" s="24" t="s">
        <v>61</v>
      </c>
      <c r="D19" s="25"/>
      <c r="E19" s="26">
        <v>310.7</v>
      </c>
      <c r="F19" s="12"/>
    </row>
    <row r="20" spans="1:6" ht="22.8" x14ac:dyDescent="0.3">
      <c r="A20" s="1"/>
      <c r="B20" s="2"/>
      <c r="C20" s="24" t="s">
        <v>64</v>
      </c>
      <c r="D20" s="22"/>
      <c r="E20" s="23">
        <f>+'Personale dipendente G-LAB'!J6</f>
        <v>4368.8352000000004</v>
      </c>
      <c r="F20" s="12"/>
    </row>
    <row r="21" spans="1:6" ht="22.8" x14ac:dyDescent="0.3">
      <c r="A21" s="1"/>
      <c r="B21" s="2"/>
      <c r="C21" s="24" t="s">
        <v>65</v>
      </c>
      <c r="D21" s="25"/>
      <c r="E21" s="26">
        <f>+'Personale dipendente G-LAB'!J5</f>
        <v>4614.1028000000006</v>
      </c>
      <c r="F21" s="12"/>
    </row>
    <row r="22" spans="1:6" x14ac:dyDescent="0.3">
      <c r="A22" s="1"/>
      <c r="B22" s="2"/>
      <c r="C22" s="24" t="s">
        <v>165</v>
      </c>
      <c r="D22" s="22"/>
      <c r="E22" s="26">
        <v>310.7</v>
      </c>
      <c r="F22" s="12"/>
    </row>
    <row r="23" spans="1:6" x14ac:dyDescent="0.3">
      <c r="A23" s="1"/>
      <c r="B23" s="2"/>
      <c r="C23" s="34" t="s">
        <v>114</v>
      </c>
      <c r="D23" s="25"/>
      <c r="E23" s="26">
        <v>2822.4</v>
      </c>
      <c r="F23" s="12"/>
    </row>
    <row r="24" spans="1:6" x14ac:dyDescent="0.3">
      <c r="A24" s="1"/>
      <c r="B24" s="2"/>
      <c r="C24" s="28" t="s">
        <v>115</v>
      </c>
      <c r="D24" s="22"/>
      <c r="E24" s="23">
        <v>1500</v>
      </c>
      <c r="F24" s="12"/>
    </row>
    <row r="25" spans="1:6" x14ac:dyDescent="0.3">
      <c r="A25" s="1"/>
      <c r="B25" s="2"/>
      <c r="C25" s="31"/>
      <c r="D25" s="25"/>
      <c r="E25" s="26"/>
      <c r="F25" s="12"/>
    </row>
    <row r="26" spans="1:6" x14ac:dyDescent="0.3">
      <c r="A26" s="1"/>
      <c r="B26" s="2"/>
      <c r="C26" s="21"/>
      <c r="D26" s="22"/>
      <c r="E26" s="23"/>
      <c r="F26" s="12"/>
    </row>
    <row r="27" spans="1:6" s="11" customFormat="1" x14ac:dyDescent="0.3">
      <c r="A27" s="8"/>
      <c r="B27" s="9"/>
      <c r="C27" s="71"/>
      <c r="D27" s="42"/>
      <c r="E27" s="43"/>
      <c r="F27" s="13"/>
    </row>
    <row r="28" spans="1:6" ht="22.8" x14ac:dyDescent="0.3">
      <c r="A28" s="1"/>
      <c r="B28" s="2"/>
      <c r="C28" s="18" t="s">
        <v>20</v>
      </c>
      <c r="D28" s="29"/>
      <c r="E28" s="30"/>
      <c r="F28" s="12"/>
    </row>
    <row r="29" spans="1:6" x14ac:dyDescent="0.3">
      <c r="A29" s="1"/>
      <c r="B29" s="2"/>
      <c r="C29" s="24" t="s">
        <v>38</v>
      </c>
      <c r="D29" s="72">
        <v>18420</v>
      </c>
      <c r="E29" s="73"/>
      <c r="F29" s="12"/>
    </row>
    <row r="30" spans="1:6" x14ac:dyDescent="0.3">
      <c r="A30" s="1"/>
      <c r="B30" s="2"/>
      <c r="C30" s="24" t="s">
        <v>41</v>
      </c>
      <c r="D30" s="22"/>
      <c r="E30" s="23">
        <f>+'Personale Coop. Crescita'!E14</f>
        <v>13843.510000000002</v>
      </c>
      <c r="F30" s="12"/>
    </row>
    <row r="31" spans="1:6" ht="22.8" x14ac:dyDescent="0.3">
      <c r="A31" s="1"/>
      <c r="B31" s="2"/>
      <c r="C31" s="24" t="s">
        <v>116</v>
      </c>
      <c r="D31" s="25"/>
      <c r="E31" s="26">
        <v>2783.61</v>
      </c>
      <c r="F31" s="12"/>
    </row>
    <row r="32" spans="1:6" ht="22.8" x14ac:dyDescent="0.3">
      <c r="A32" s="1"/>
      <c r="B32" s="2"/>
      <c r="C32" s="24" t="s">
        <v>117</v>
      </c>
      <c r="D32" s="22"/>
      <c r="E32" s="23">
        <v>5735.03</v>
      </c>
      <c r="F32" s="12"/>
    </row>
    <row r="33" spans="1:6" ht="22.8" x14ac:dyDescent="0.3">
      <c r="A33" s="1"/>
      <c r="B33" s="2"/>
      <c r="C33" s="28" t="s">
        <v>166</v>
      </c>
      <c r="D33" s="22"/>
      <c r="E33" s="23">
        <v>1613.36</v>
      </c>
      <c r="F33" s="12"/>
    </row>
    <row r="34" spans="1:6" x14ac:dyDescent="0.3">
      <c r="A34" s="1"/>
      <c r="B34" s="2"/>
      <c r="C34" s="28"/>
      <c r="D34" s="22"/>
      <c r="E34" s="23"/>
      <c r="F34" s="12"/>
    </row>
    <row r="35" spans="1:6" x14ac:dyDescent="0.3">
      <c r="A35" s="1"/>
      <c r="B35" s="2"/>
      <c r="C35" s="24"/>
      <c r="D35" s="32"/>
      <c r="E35" s="33"/>
      <c r="F35" s="12"/>
    </row>
    <row r="36" spans="1:6" x14ac:dyDescent="0.3">
      <c r="A36" s="1"/>
      <c r="B36" s="2"/>
      <c r="C36" s="28"/>
      <c r="D36" s="22"/>
      <c r="E36" s="23"/>
      <c r="F36" s="12"/>
    </row>
    <row r="37" spans="1:6" x14ac:dyDescent="0.3">
      <c r="A37" s="1"/>
      <c r="B37" s="2"/>
      <c r="C37" s="34"/>
      <c r="D37" s="25"/>
      <c r="E37" s="26"/>
      <c r="F37" s="12"/>
    </row>
    <row r="38" spans="1:6" x14ac:dyDescent="0.3">
      <c r="A38" s="1"/>
      <c r="B38" s="2"/>
      <c r="C38" s="28"/>
      <c r="D38" s="22"/>
      <c r="E38" s="23"/>
      <c r="F38" s="12"/>
    </row>
    <row r="39" spans="1:6" x14ac:dyDescent="0.3">
      <c r="A39" s="1"/>
      <c r="B39" s="2"/>
      <c r="C39" s="24"/>
      <c r="D39" s="32"/>
      <c r="E39" s="33"/>
      <c r="F39" s="12"/>
    </row>
    <row r="40" spans="1:6" ht="22.8" x14ac:dyDescent="0.3">
      <c r="A40" s="1"/>
      <c r="B40" s="2"/>
      <c r="C40" s="18" t="s">
        <v>31</v>
      </c>
      <c r="D40" s="29"/>
      <c r="E40" s="30"/>
      <c r="F40" s="12"/>
    </row>
    <row r="41" spans="1:6" x14ac:dyDescent="0.3">
      <c r="A41" s="1"/>
      <c r="B41" s="2"/>
      <c r="C41" s="24"/>
      <c r="D41" s="72"/>
      <c r="E41" s="73"/>
      <c r="F41" s="12"/>
    </row>
    <row r="42" spans="1:6" x14ac:dyDescent="0.3">
      <c r="A42" s="1"/>
      <c r="B42" s="2"/>
      <c r="C42" s="28"/>
      <c r="D42" s="22"/>
      <c r="E42" s="23"/>
      <c r="F42" s="12"/>
    </row>
    <row r="43" spans="1:6" x14ac:dyDescent="0.3">
      <c r="A43" s="1"/>
      <c r="B43" s="2"/>
      <c r="C43" s="24"/>
      <c r="D43" s="25"/>
      <c r="E43" s="26"/>
      <c r="F43" s="12"/>
    </row>
    <row r="44" spans="1:6" x14ac:dyDescent="0.3">
      <c r="A44" s="1"/>
      <c r="B44" s="2"/>
      <c r="C44" s="28"/>
      <c r="D44" s="22"/>
      <c r="E44" s="23"/>
      <c r="F44" s="12"/>
    </row>
    <row r="45" spans="1:6" x14ac:dyDescent="0.3">
      <c r="A45" s="1"/>
      <c r="B45" s="2"/>
      <c r="C45" s="34"/>
      <c r="D45" s="25"/>
      <c r="E45" s="26"/>
      <c r="F45" s="12"/>
    </row>
    <row r="46" spans="1:6" x14ac:dyDescent="0.3">
      <c r="A46" s="1"/>
      <c r="B46" s="2"/>
      <c r="C46" s="28"/>
      <c r="D46" s="22"/>
      <c r="E46" s="23"/>
      <c r="F46" s="12"/>
    </row>
    <row r="47" spans="1:6" x14ac:dyDescent="0.3">
      <c r="A47" s="1"/>
      <c r="B47" s="2"/>
      <c r="C47" s="24"/>
      <c r="D47" s="32"/>
      <c r="E47" s="33"/>
      <c r="F47" s="12"/>
    </row>
    <row r="48" spans="1:6" ht="22.8" x14ac:dyDescent="0.3">
      <c r="A48" s="1"/>
      <c r="B48" s="2"/>
      <c r="C48" s="18" t="s">
        <v>32</v>
      </c>
      <c r="D48" s="29"/>
      <c r="E48" s="30"/>
      <c r="F48" s="12"/>
    </row>
    <row r="49" spans="1:6" x14ac:dyDescent="0.3">
      <c r="A49" s="1"/>
      <c r="B49" s="2"/>
      <c r="C49" s="24"/>
      <c r="D49" s="72"/>
      <c r="E49" s="73"/>
      <c r="F49" s="12"/>
    </row>
    <row r="50" spans="1:6" x14ac:dyDescent="0.3">
      <c r="A50" s="1"/>
      <c r="B50" s="2"/>
      <c r="C50" s="28"/>
      <c r="D50" s="22"/>
      <c r="E50" s="23"/>
      <c r="F50" s="12"/>
    </row>
    <row r="51" spans="1:6" x14ac:dyDescent="0.3">
      <c r="A51" s="1"/>
      <c r="B51" s="2"/>
      <c r="C51" s="24"/>
      <c r="D51" s="25"/>
      <c r="E51" s="26"/>
      <c r="F51" s="12"/>
    </row>
    <row r="52" spans="1:6" x14ac:dyDescent="0.3">
      <c r="A52" s="1"/>
      <c r="B52" s="2"/>
      <c r="C52" s="28"/>
      <c r="D52" s="22"/>
      <c r="E52" s="23"/>
      <c r="F52" s="12"/>
    </row>
    <row r="53" spans="1:6" x14ac:dyDescent="0.3">
      <c r="A53" s="1"/>
      <c r="B53" s="2"/>
      <c r="C53" s="34"/>
      <c r="D53" s="25"/>
      <c r="E53" s="26"/>
      <c r="F53" s="12"/>
    </row>
    <row r="54" spans="1:6" x14ac:dyDescent="0.3">
      <c r="A54" s="1"/>
      <c r="B54" s="2"/>
      <c r="C54" s="28"/>
      <c r="D54" s="22"/>
      <c r="E54" s="23"/>
      <c r="F54" s="12"/>
    </row>
    <row r="55" spans="1:6" x14ac:dyDescent="0.3">
      <c r="A55" s="1"/>
      <c r="B55" s="2"/>
      <c r="C55" s="24"/>
      <c r="D55" s="32"/>
      <c r="E55" s="33"/>
      <c r="F55" s="12"/>
    </row>
    <row r="56" spans="1:6" ht="22.8" x14ac:dyDescent="0.3">
      <c r="A56" s="1"/>
      <c r="B56" s="2"/>
      <c r="C56" s="18" t="s">
        <v>21</v>
      </c>
      <c r="D56" s="29"/>
      <c r="E56" s="30"/>
      <c r="F56" s="12"/>
    </row>
    <row r="57" spans="1:6" x14ac:dyDescent="0.3">
      <c r="A57" s="1"/>
      <c r="B57" s="2"/>
      <c r="C57" s="24"/>
      <c r="D57" s="72"/>
      <c r="E57" s="73"/>
      <c r="F57" s="12"/>
    </row>
    <row r="58" spans="1:6" x14ac:dyDescent="0.3">
      <c r="A58" s="1"/>
      <c r="B58" s="2"/>
      <c r="C58" s="28"/>
      <c r="D58" s="22"/>
      <c r="E58" s="23"/>
      <c r="F58" s="12"/>
    </row>
    <row r="59" spans="1:6" x14ac:dyDescent="0.3">
      <c r="A59" s="1"/>
      <c r="B59" s="2"/>
      <c r="C59" s="24"/>
      <c r="D59" s="25"/>
      <c r="E59" s="26"/>
      <c r="F59" s="12"/>
    </row>
    <row r="60" spans="1:6" x14ac:dyDescent="0.3">
      <c r="A60" s="1"/>
      <c r="B60" s="2"/>
      <c r="C60" s="28"/>
      <c r="D60" s="22"/>
      <c r="E60" s="23"/>
      <c r="F60" s="12"/>
    </row>
    <row r="61" spans="1:6" x14ac:dyDescent="0.3">
      <c r="A61" s="1"/>
      <c r="B61" s="2"/>
      <c r="C61" s="34"/>
      <c r="D61" s="25"/>
      <c r="E61" s="26"/>
      <c r="F61" s="12"/>
    </row>
    <row r="62" spans="1:6" x14ac:dyDescent="0.3">
      <c r="A62" s="1"/>
      <c r="B62" s="2"/>
      <c r="C62" s="28"/>
      <c r="D62" s="22"/>
      <c r="E62" s="23"/>
      <c r="F62" s="12"/>
    </row>
    <row r="63" spans="1:6" x14ac:dyDescent="0.3">
      <c r="A63" s="1"/>
      <c r="B63" s="2"/>
      <c r="C63" s="34"/>
      <c r="D63" s="25"/>
      <c r="E63" s="26"/>
      <c r="F63" s="12"/>
    </row>
    <row r="64" spans="1:6" x14ac:dyDescent="0.3">
      <c r="A64" s="1"/>
      <c r="B64" s="2"/>
      <c r="C64" s="28"/>
      <c r="D64" s="22"/>
      <c r="E64" s="23"/>
      <c r="F64" s="12"/>
    </row>
    <row r="65" spans="1:6" x14ac:dyDescent="0.3">
      <c r="A65" s="1"/>
      <c r="B65" s="2"/>
      <c r="C65" s="34"/>
      <c r="D65" s="25"/>
      <c r="E65" s="26"/>
      <c r="F65" s="12"/>
    </row>
    <row r="66" spans="1:6" x14ac:dyDescent="0.3">
      <c r="A66" s="1"/>
      <c r="B66" s="2"/>
      <c r="C66" s="28"/>
      <c r="D66" s="22"/>
      <c r="E66" s="23"/>
      <c r="F66" s="12"/>
    </row>
    <row r="67" spans="1:6" x14ac:dyDescent="0.3">
      <c r="A67" s="1"/>
      <c r="B67" s="2"/>
      <c r="C67" s="34"/>
      <c r="D67" s="25"/>
      <c r="E67" s="26"/>
      <c r="F67" s="12"/>
    </row>
    <row r="68" spans="1:6" x14ac:dyDescent="0.3">
      <c r="A68" s="1"/>
      <c r="B68" s="2"/>
      <c r="C68" s="28"/>
      <c r="D68" s="22"/>
      <c r="E68" s="23"/>
      <c r="F68" s="12"/>
    </row>
    <row r="69" spans="1:6" x14ac:dyDescent="0.3">
      <c r="A69" s="156"/>
      <c r="B69" s="157"/>
      <c r="C69" s="24"/>
      <c r="D69" s="74"/>
      <c r="E69" s="75"/>
      <c r="F69" s="12"/>
    </row>
    <row r="70" spans="1:6" ht="15" customHeight="1" x14ac:dyDescent="0.3">
      <c r="A70" s="156"/>
      <c r="B70" s="157"/>
      <c r="C70" s="35" t="s">
        <v>5</v>
      </c>
      <c r="D70" s="92">
        <f>SUM(D10:D69)</f>
        <v>38000</v>
      </c>
      <c r="E70" s="93">
        <f>SUM(E10:E69)</f>
        <v>47699.016800000005</v>
      </c>
      <c r="F70" s="12"/>
    </row>
    <row r="71" spans="1:6" ht="15" thickBot="1" x14ac:dyDescent="0.35">
      <c r="A71" s="156"/>
      <c r="B71" s="157"/>
      <c r="C71" s="36"/>
      <c r="D71" s="37"/>
      <c r="E71" s="38"/>
      <c r="F71" s="12"/>
    </row>
    <row r="72" spans="1:6" x14ac:dyDescent="0.3">
      <c r="A72" s="156"/>
      <c r="B72" s="157"/>
      <c r="C72" s="39"/>
      <c r="D72" s="40"/>
      <c r="E72" s="41"/>
      <c r="F72" s="12"/>
    </row>
    <row r="73" spans="1:6" ht="49.5" customHeight="1" x14ac:dyDescent="0.3">
      <c r="A73" s="3"/>
      <c r="B73" s="4"/>
      <c r="C73" s="94" t="s">
        <v>9</v>
      </c>
      <c r="D73" s="95"/>
      <c r="E73" s="96"/>
      <c r="F73" s="12"/>
    </row>
    <row r="74" spans="1:6" ht="22.8" x14ac:dyDescent="0.3">
      <c r="A74" s="1"/>
      <c r="B74" s="2"/>
      <c r="C74" s="18" t="s">
        <v>22</v>
      </c>
      <c r="D74" s="97"/>
      <c r="E74" s="98"/>
      <c r="F74" s="12"/>
    </row>
    <row r="75" spans="1:6" ht="15" customHeight="1" x14ac:dyDescent="0.3">
      <c r="A75" s="1"/>
      <c r="B75" s="2"/>
      <c r="C75" s="24"/>
      <c r="D75" s="76"/>
      <c r="E75" s="77"/>
      <c r="F75" s="12"/>
    </row>
    <row r="76" spans="1:6" x14ac:dyDescent="0.3">
      <c r="A76" s="1"/>
      <c r="B76" s="2"/>
      <c r="C76" s="28"/>
      <c r="D76" s="22"/>
      <c r="E76" s="23"/>
      <c r="F76" s="12"/>
    </row>
    <row r="77" spans="1:6" x14ac:dyDescent="0.3">
      <c r="A77" s="1"/>
      <c r="B77" s="2"/>
      <c r="C77" s="24"/>
      <c r="D77" s="25"/>
      <c r="E77" s="26"/>
      <c r="F77" s="12"/>
    </row>
    <row r="78" spans="1:6" x14ac:dyDescent="0.3">
      <c r="A78" s="1"/>
      <c r="B78" s="2"/>
      <c r="C78" s="28"/>
      <c r="D78" s="22"/>
      <c r="E78" s="23"/>
      <c r="F78" s="12"/>
    </row>
    <row r="79" spans="1:6" x14ac:dyDescent="0.3">
      <c r="A79" s="1"/>
      <c r="B79" s="2"/>
      <c r="C79" s="34"/>
      <c r="D79" s="25"/>
      <c r="E79" s="26"/>
      <c r="F79" s="12"/>
    </row>
    <row r="80" spans="1:6" x14ac:dyDescent="0.3">
      <c r="A80" s="1"/>
      <c r="B80" s="2"/>
      <c r="C80" s="28"/>
      <c r="D80" s="22"/>
      <c r="E80" s="23"/>
      <c r="F80" s="12"/>
    </row>
    <row r="81" spans="1:6" x14ac:dyDescent="0.3">
      <c r="A81" s="5"/>
      <c r="B81" s="6"/>
      <c r="C81" s="24"/>
      <c r="D81" s="42"/>
      <c r="E81" s="43"/>
      <c r="F81" s="12"/>
    </row>
    <row r="82" spans="1:6" x14ac:dyDescent="0.3">
      <c r="A82" s="1"/>
      <c r="B82" s="2"/>
      <c r="C82" s="28"/>
      <c r="D82" s="22"/>
      <c r="E82" s="23"/>
      <c r="F82" s="12"/>
    </row>
    <row r="83" spans="1:6" x14ac:dyDescent="0.3">
      <c r="A83" s="1"/>
      <c r="B83" s="2"/>
      <c r="C83" s="34"/>
      <c r="D83" s="25"/>
      <c r="E83" s="26"/>
      <c r="F83" s="12"/>
    </row>
    <row r="84" spans="1:6" x14ac:dyDescent="0.3">
      <c r="A84" s="1"/>
      <c r="B84" s="2"/>
      <c r="C84" s="28"/>
      <c r="D84" s="22"/>
      <c r="E84" s="23"/>
      <c r="F84" s="12"/>
    </row>
    <row r="85" spans="1:6" x14ac:dyDescent="0.3">
      <c r="A85" s="5"/>
      <c r="B85" s="6"/>
      <c r="C85" s="24"/>
      <c r="D85" s="42"/>
      <c r="E85" s="43"/>
      <c r="F85" s="12"/>
    </row>
    <row r="86" spans="1:6" ht="22.8" x14ac:dyDescent="0.3">
      <c r="A86" s="1"/>
      <c r="B86" s="2"/>
      <c r="C86" s="18" t="s">
        <v>23</v>
      </c>
      <c r="D86" s="29"/>
      <c r="E86" s="30"/>
      <c r="F86" s="12"/>
    </row>
    <row r="87" spans="1:6" ht="15" customHeight="1" x14ac:dyDescent="0.3">
      <c r="A87" s="1"/>
      <c r="B87" s="2"/>
      <c r="C87" s="24"/>
      <c r="D87" s="72"/>
      <c r="E87" s="73"/>
      <c r="F87" s="12"/>
    </row>
    <row r="88" spans="1:6" x14ac:dyDescent="0.3">
      <c r="A88" s="1"/>
      <c r="B88" s="2"/>
      <c r="C88" s="24" t="s">
        <v>38</v>
      </c>
      <c r="D88" s="22">
        <v>7000</v>
      </c>
      <c r="E88" s="23"/>
      <c r="F88" s="12"/>
    </row>
    <row r="89" spans="1:6" x14ac:dyDescent="0.3">
      <c r="A89" s="1"/>
      <c r="B89" s="2"/>
      <c r="C89" s="24" t="s">
        <v>54</v>
      </c>
      <c r="D89" s="25"/>
      <c r="E89" s="26">
        <v>602</v>
      </c>
      <c r="F89" s="12"/>
    </row>
    <row r="90" spans="1:6" ht="15" customHeight="1" x14ac:dyDescent="0.3">
      <c r="A90" s="1"/>
      <c r="B90" s="2"/>
      <c r="C90" s="28"/>
      <c r="D90" s="22"/>
      <c r="E90" s="23"/>
      <c r="F90" s="12"/>
    </row>
    <row r="91" spans="1:6" ht="15" customHeight="1" x14ac:dyDescent="0.3">
      <c r="A91" s="1"/>
      <c r="B91" s="2"/>
      <c r="C91" s="34"/>
      <c r="D91" s="25"/>
      <c r="E91" s="26"/>
      <c r="F91" s="12"/>
    </row>
    <row r="92" spans="1:6" x14ac:dyDescent="0.3">
      <c r="A92" s="1"/>
      <c r="B92" s="2"/>
      <c r="C92" s="28"/>
      <c r="D92" s="22"/>
      <c r="E92" s="23"/>
      <c r="F92" s="12"/>
    </row>
    <row r="93" spans="1:6" x14ac:dyDescent="0.3">
      <c r="A93" s="1"/>
      <c r="B93" s="2"/>
      <c r="C93" s="24"/>
      <c r="D93" s="42"/>
      <c r="E93" s="43"/>
      <c r="F93" s="12"/>
    </row>
    <row r="94" spans="1:6" ht="15" customHeight="1" x14ac:dyDescent="0.3">
      <c r="A94" s="1"/>
      <c r="B94" s="2"/>
      <c r="C94" s="28"/>
      <c r="D94" s="22"/>
      <c r="E94" s="23"/>
      <c r="F94" s="12"/>
    </row>
    <row r="95" spans="1:6" ht="15" customHeight="1" x14ac:dyDescent="0.3">
      <c r="A95" s="1"/>
      <c r="B95" s="2"/>
      <c r="C95" s="34"/>
      <c r="D95" s="25"/>
      <c r="E95" s="26"/>
      <c r="F95" s="12"/>
    </row>
    <row r="96" spans="1:6" x14ac:dyDescent="0.3">
      <c r="A96" s="1"/>
      <c r="B96" s="2"/>
      <c r="C96" s="28"/>
      <c r="D96" s="22"/>
      <c r="E96" s="23"/>
      <c r="F96" s="12"/>
    </row>
    <row r="97" spans="1:6" ht="13.2" customHeight="1" x14ac:dyDescent="0.3">
      <c r="A97" s="1"/>
      <c r="B97" s="2"/>
      <c r="C97" s="24"/>
      <c r="D97" s="42"/>
      <c r="E97" s="43"/>
      <c r="F97" s="12"/>
    </row>
    <row r="98" spans="1:6" ht="22.8" x14ac:dyDescent="0.3">
      <c r="A98" s="1"/>
      <c r="B98" s="2"/>
      <c r="C98" s="18" t="s">
        <v>24</v>
      </c>
      <c r="D98" s="29"/>
      <c r="E98" s="30"/>
      <c r="F98" s="12"/>
    </row>
    <row r="99" spans="1:6" x14ac:dyDescent="0.3">
      <c r="A99" s="1"/>
      <c r="B99" s="2"/>
      <c r="C99" s="24"/>
      <c r="D99" s="72"/>
      <c r="E99" s="73"/>
      <c r="F99" s="12"/>
    </row>
    <row r="100" spans="1:6" x14ac:dyDescent="0.3">
      <c r="A100" s="1"/>
      <c r="B100" s="2"/>
      <c r="C100" s="28"/>
      <c r="D100" s="22"/>
      <c r="E100" s="23"/>
      <c r="F100" s="12"/>
    </row>
    <row r="101" spans="1:6" x14ac:dyDescent="0.3">
      <c r="A101" s="1"/>
      <c r="B101" s="2"/>
      <c r="C101" s="24"/>
      <c r="D101" s="25"/>
      <c r="E101" s="26"/>
      <c r="F101" s="12"/>
    </row>
    <row r="102" spans="1:6" x14ac:dyDescent="0.3">
      <c r="A102" s="1"/>
      <c r="B102" s="2"/>
      <c r="C102" s="28"/>
      <c r="D102" s="22"/>
      <c r="E102" s="23"/>
      <c r="F102" s="12"/>
    </row>
    <row r="103" spans="1:6" x14ac:dyDescent="0.3">
      <c r="A103" s="1"/>
      <c r="B103" s="2"/>
      <c r="C103" s="34"/>
      <c r="D103" s="25"/>
      <c r="E103" s="26"/>
      <c r="F103" s="12"/>
    </row>
    <row r="104" spans="1:6" x14ac:dyDescent="0.3">
      <c r="A104" s="1"/>
      <c r="B104" s="2"/>
      <c r="C104" s="28"/>
      <c r="D104" s="22"/>
      <c r="E104" s="23"/>
      <c r="F104" s="12"/>
    </row>
    <row r="105" spans="1:6" x14ac:dyDescent="0.3">
      <c r="A105" s="1"/>
      <c r="B105" s="2"/>
      <c r="C105" s="34"/>
      <c r="D105" s="25"/>
      <c r="E105" s="26"/>
      <c r="F105" s="12"/>
    </row>
    <row r="106" spans="1:6" x14ac:dyDescent="0.3">
      <c r="A106" s="1"/>
      <c r="B106" s="2"/>
      <c r="C106" s="28"/>
      <c r="D106" s="22"/>
      <c r="E106" s="23"/>
      <c r="F106" s="12"/>
    </row>
    <row r="107" spans="1:6" x14ac:dyDescent="0.3">
      <c r="A107" s="1"/>
      <c r="B107" s="2"/>
      <c r="C107" s="34"/>
      <c r="D107" s="25"/>
      <c r="E107" s="26"/>
      <c r="F107" s="12"/>
    </row>
    <row r="108" spans="1:6" x14ac:dyDescent="0.3">
      <c r="A108" s="1"/>
      <c r="B108" s="2"/>
      <c r="C108" s="28"/>
      <c r="D108" s="22"/>
      <c r="E108" s="23"/>
      <c r="F108" s="12"/>
    </row>
    <row r="109" spans="1:6" x14ac:dyDescent="0.3">
      <c r="A109" s="1"/>
      <c r="B109" s="2"/>
      <c r="C109" s="34"/>
      <c r="D109" s="25"/>
      <c r="E109" s="26"/>
      <c r="F109" s="12"/>
    </row>
    <row r="110" spans="1:6" x14ac:dyDescent="0.3">
      <c r="A110" s="1"/>
      <c r="B110" s="2"/>
      <c r="C110" s="28"/>
      <c r="D110" s="22"/>
      <c r="E110" s="23"/>
      <c r="F110" s="12"/>
    </row>
    <row r="111" spans="1:6" x14ac:dyDescent="0.3">
      <c r="A111" s="1"/>
      <c r="B111" s="2"/>
      <c r="C111" s="24"/>
      <c r="D111" s="25"/>
      <c r="E111" s="26"/>
      <c r="F111" s="12"/>
    </row>
    <row r="112" spans="1:6" x14ac:dyDescent="0.3">
      <c r="A112" s="1"/>
      <c r="B112" s="2"/>
      <c r="C112" s="35" t="s">
        <v>6</v>
      </c>
      <c r="D112" s="92">
        <f>SUM(D75:D111)</f>
        <v>7000</v>
      </c>
      <c r="E112" s="93">
        <f>SUM(E75:E111)</f>
        <v>602</v>
      </c>
      <c r="F112" s="12"/>
    </row>
    <row r="113" spans="1:6" ht="15" customHeight="1" thickBot="1" x14ac:dyDescent="0.35">
      <c r="A113" s="1"/>
      <c r="B113" s="2"/>
      <c r="C113" s="44"/>
      <c r="D113" s="37"/>
      <c r="E113" s="38"/>
      <c r="F113" s="12"/>
    </row>
    <row r="114" spans="1:6" x14ac:dyDescent="0.3">
      <c r="A114" s="1"/>
      <c r="B114" s="2"/>
      <c r="C114" s="39"/>
      <c r="D114" s="40"/>
      <c r="E114" s="41"/>
      <c r="F114" s="12"/>
    </row>
    <row r="115" spans="1:6" ht="49.5" customHeight="1" x14ac:dyDescent="0.3">
      <c r="A115" s="3"/>
      <c r="B115" s="4"/>
      <c r="C115" s="94" t="s">
        <v>10</v>
      </c>
      <c r="D115" s="95"/>
      <c r="E115" s="96"/>
      <c r="F115" s="12"/>
    </row>
    <row r="116" spans="1:6" ht="22.05" customHeight="1" x14ac:dyDescent="0.3">
      <c r="A116" s="1"/>
      <c r="B116" s="2"/>
      <c r="C116" s="99" t="s">
        <v>25</v>
      </c>
      <c r="D116" s="97"/>
      <c r="E116" s="98"/>
      <c r="F116" s="12"/>
    </row>
    <row r="117" spans="1:6" x14ac:dyDescent="0.3">
      <c r="A117" s="1"/>
      <c r="B117" s="2"/>
      <c r="C117" s="24"/>
      <c r="D117" s="42"/>
      <c r="E117" s="43"/>
      <c r="F117" s="12"/>
    </row>
    <row r="118" spans="1:6" ht="15" customHeight="1" x14ac:dyDescent="0.3">
      <c r="A118" s="1"/>
      <c r="B118" s="2"/>
      <c r="C118" s="28"/>
      <c r="D118" s="45"/>
      <c r="E118" s="23"/>
      <c r="F118" s="12"/>
    </row>
    <row r="119" spans="1:6" x14ac:dyDescent="0.3">
      <c r="A119" s="1"/>
      <c r="B119" s="2"/>
      <c r="C119" s="24"/>
      <c r="D119" s="25"/>
      <c r="E119" s="26"/>
      <c r="F119" s="12"/>
    </row>
    <row r="120" spans="1:6" x14ac:dyDescent="0.3">
      <c r="A120" s="1"/>
      <c r="B120" s="2"/>
      <c r="C120" s="28"/>
      <c r="D120" s="45"/>
      <c r="E120" s="23"/>
      <c r="F120" s="12"/>
    </row>
    <row r="121" spans="1:6" x14ac:dyDescent="0.3">
      <c r="A121" s="1"/>
      <c r="B121" s="2"/>
      <c r="C121" s="24"/>
      <c r="D121" s="25"/>
      <c r="E121" s="26"/>
      <c r="F121" s="12"/>
    </row>
    <row r="122" spans="1:6" x14ac:dyDescent="0.3">
      <c r="A122" s="1"/>
      <c r="B122" s="2"/>
      <c r="C122" s="28"/>
      <c r="D122" s="45"/>
      <c r="E122" s="23"/>
      <c r="F122" s="12"/>
    </row>
    <row r="123" spans="1:6" x14ac:dyDescent="0.3">
      <c r="A123" s="1"/>
      <c r="B123" s="2"/>
      <c r="C123" s="24"/>
      <c r="D123" s="25"/>
      <c r="E123" s="26"/>
      <c r="F123" s="12"/>
    </row>
    <row r="124" spans="1:6" x14ac:dyDescent="0.3">
      <c r="A124" s="1"/>
      <c r="B124" s="2"/>
      <c r="C124" s="28"/>
      <c r="D124" s="45"/>
      <c r="E124" s="23"/>
      <c r="F124" s="12"/>
    </row>
    <row r="125" spans="1:6" x14ac:dyDescent="0.3">
      <c r="A125" s="1"/>
      <c r="B125" s="2"/>
      <c r="C125" s="24"/>
      <c r="D125" s="25"/>
      <c r="E125" s="26"/>
      <c r="F125" s="12"/>
    </row>
    <row r="126" spans="1:6" x14ac:dyDescent="0.3">
      <c r="A126" s="1"/>
      <c r="B126" s="2"/>
      <c r="C126" s="35" t="s">
        <v>3</v>
      </c>
      <c r="D126" s="92">
        <f>SUM(D117:D125)</f>
        <v>0</v>
      </c>
      <c r="E126" s="93">
        <f>SUM(E117:E125)</f>
        <v>0</v>
      </c>
      <c r="F126" s="12"/>
    </row>
    <row r="127" spans="1:6" ht="15" customHeight="1" thickBot="1" x14ac:dyDescent="0.35">
      <c r="A127" s="1"/>
      <c r="B127" s="2"/>
      <c r="C127" s="36"/>
      <c r="D127" s="37"/>
      <c r="E127" s="38"/>
      <c r="F127" s="12"/>
    </row>
    <row r="128" spans="1:6" x14ac:dyDescent="0.3">
      <c r="A128" s="1"/>
      <c r="B128" s="2"/>
      <c r="C128" s="39"/>
      <c r="D128" s="40"/>
      <c r="E128" s="41"/>
      <c r="F128" s="12"/>
    </row>
    <row r="129" spans="1:6" ht="49.5" customHeight="1" x14ac:dyDescent="0.3">
      <c r="A129" s="3"/>
      <c r="B129" s="4"/>
      <c r="C129" s="94" t="s">
        <v>11</v>
      </c>
      <c r="D129" s="95"/>
      <c r="E129" s="96"/>
      <c r="F129" s="12"/>
    </row>
    <row r="130" spans="1:6" ht="22.05" customHeight="1" x14ac:dyDescent="0.3">
      <c r="A130" s="1"/>
      <c r="B130" s="2"/>
      <c r="C130" s="99" t="s">
        <v>25</v>
      </c>
      <c r="D130" s="97"/>
      <c r="E130" s="98"/>
      <c r="F130" s="12"/>
    </row>
    <row r="131" spans="1:6" x14ac:dyDescent="0.3">
      <c r="A131" s="1"/>
      <c r="B131" s="2"/>
      <c r="C131" s="24" t="s">
        <v>39</v>
      </c>
      <c r="D131" s="42">
        <v>2000</v>
      </c>
      <c r="E131" s="43"/>
      <c r="F131" s="12"/>
    </row>
    <row r="132" spans="1:6" x14ac:dyDescent="0.3">
      <c r="A132" s="1"/>
      <c r="B132" s="2"/>
      <c r="C132" s="24" t="s">
        <v>40</v>
      </c>
      <c r="D132" s="45">
        <v>3000</v>
      </c>
      <c r="E132" s="23"/>
      <c r="F132" s="12"/>
    </row>
    <row r="133" spans="1:6" x14ac:dyDescent="0.3">
      <c r="A133" s="3"/>
      <c r="B133" s="4"/>
      <c r="C133" s="24" t="s">
        <v>106</v>
      </c>
      <c r="D133" s="25"/>
      <c r="E133" s="26">
        <f>'Dettaglio materiale acquistato'!H43</f>
        <v>1735.7775145792348</v>
      </c>
      <c r="F133" s="12"/>
    </row>
    <row r="134" spans="1:6" ht="22.8" x14ac:dyDescent="0.3">
      <c r="C134" s="28" t="s">
        <v>107</v>
      </c>
      <c r="D134" s="45"/>
      <c r="E134" s="23">
        <v>82</v>
      </c>
      <c r="F134" s="12"/>
    </row>
    <row r="135" spans="1:6" ht="22.8" x14ac:dyDescent="0.3">
      <c r="C135" s="24" t="s">
        <v>202</v>
      </c>
      <c r="D135" s="25"/>
      <c r="E135" s="143">
        <v>667.24</v>
      </c>
      <c r="F135" s="12"/>
    </row>
    <row r="136" spans="1:6" x14ac:dyDescent="0.3">
      <c r="C136" s="28"/>
      <c r="D136" s="45"/>
      <c r="E136" s="23"/>
      <c r="F136" s="12"/>
    </row>
    <row r="137" spans="1:6" x14ac:dyDescent="0.3">
      <c r="C137" s="24"/>
      <c r="D137" s="25"/>
      <c r="E137" s="26"/>
      <c r="F137" s="12"/>
    </row>
    <row r="138" spans="1:6" x14ac:dyDescent="0.3">
      <c r="C138" s="28"/>
      <c r="D138" s="45"/>
      <c r="E138" s="23"/>
      <c r="F138" s="12"/>
    </row>
    <row r="139" spans="1:6" x14ac:dyDescent="0.3">
      <c r="C139" s="24"/>
      <c r="D139" s="25"/>
      <c r="E139" s="26"/>
      <c r="F139" s="12"/>
    </row>
    <row r="140" spans="1:6" x14ac:dyDescent="0.3">
      <c r="C140" s="35" t="s">
        <v>2</v>
      </c>
      <c r="D140" s="92">
        <f>SUM(D131:D139)</f>
        <v>5000</v>
      </c>
      <c r="E140" s="93">
        <f>SUM(E131:E139)</f>
        <v>2485.0175145792346</v>
      </c>
      <c r="F140" s="12"/>
    </row>
    <row r="141" spans="1:6" ht="15" thickBot="1" x14ac:dyDescent="0.35">
      <c r="C141" s="36"/>
      <c r="D141" s="37"/>
      <c r="E141" s="38"/>
      <c r="F141" s="12"/>
    </row>
    <row r="142" spans="1:6" x14ac:dyDescent="0.3">
      <c r="C142" s="39"/>
      <c r="D142" s="40"/>
      <c r="E142" s="41"/>
      <c r="F142" s="12"/>
    </row>
    <row r="143" spans="1:6" x14ac:dyDescent="0.3">
      <c r="C143" s="18"/>
      <c r="D143" s="19"/>
      <c r="E143" s="20"/>
      <c r="F143" s="12"/>
    </row>
    <row r="144" spans="1:6" x14ac:dyDescent="0.3">
      <c r="C144" s="18"/>
      <c r="D144" s="19"/>
      <c r="E144" s="20"/>
      <c r="F144" s="12"/>
    </row>
    <row r="145" spans="1:6" x14ac:dyDescent="0.3">
      <c r="C145" s="94" t="s">
        <v>4</v>
      </c>
      <c r="D145" s="100">
        <f>(D140+D126+D112+D70)</f>
        <v>50000</v>
      </c>
      <c r="E145" s="101">
        <f>(E140+E126+E112+E70)</f>
        <v>50786.034314579243</v>
      </c>
      <c r="F145" s="12"/>
    </row>
    <row r="146" spans="1:6" x14ac:dyDescent="0.3">
      <c r="C146" s="46"/>
      <c r="D146" s="47"/>
      <c r="E146" s="48"/>
      <c r="F146" s="12"/>
    </row>
    <row r="147" spans="1:6" x14ac:dyDescent="0.3">
      <c r="C147" s="46"/>
      <c r="D147" s="47"/>
      <c r="E147" s="48"/>
      <c r="F147" s="12"/>
    </row>
    <row r="148" spans="1:6" x14ac:dyDescent="0.3">
      <c r="C148" s="46"/>
      <c r="D148" s="47"/>
      <c r="E148" s="48"/>
      <c r="F148" s="12"/>
    </row>
    <row r="149" spans="1:6" x14ac:dyDescent="0.3">
      <c r="C149" s="102" t="s">
        <v>12</v>
      </c>
      <c r="D149" s="47"/>
      <c r="E149" s="48"/>
      <c r="F149" s="12"/>
    </row>
    <row r="150" spans="1:6" ht="60.75" customHeight="1" thickBot="1" x14ac:dyDescent="0.35">
      <c r="C150" s="165" t="s">
        <v>214</v>
      </c>
      <c r="D150" s="166"/>
      <c r="E150" s="78"/>
      <c r="F150" s="12"/>
    </row>
    <row r="151" spans="1:6" x14ac:dyDescent="0.3">
      <c r="C151" s="11"/>
      <c r="D151" s="11"/>
      <c r="E151" s="11"/>
    </row>
    <row r="152" spans="1:6" x14ac:dyDescent="0.3">
      <c r="C152" s="11"/>
      <c r="D152" s="11"/>
      <c r="E152" s="11"/>
    </row>
    <row r="153" spans="1:6" x14ac:dyDescent="0.3">
      <c r="C153" s="11"/>
      <c r="D153" s="11"/>
      <c r="E153" s="11"/>
    </row>
    <row r="154" spans="1:6" x14ac:dyDescent="0.3">
      <c r="C154" s="11"/>
      <c r="D154" s="11"/>
      <c r="E154" s="11"/>
    </row>
    <row r="155" spans="1:6" ht="15" thickBot="1" x14ac:dyDescent="0.35">
      <c r="A155" s="61" t="s">
        <v>0</v>
      </c>
      <c r="B155" s="62">
        <v>2</v>
      </c>
      <c r="C155" s="149" t="s">
        <v>14</v>
      </c>
      <c r="D155" s="150"/>
      <c r="E155" s="150"/>
    </row>
    <row r="156" spans="1:6" x14ac:dyDescent="0.3">
      <c r="A156" s="160"/>
      <c r="B156" s="161"/>
      <c r="C156" s="79"/>
      <c r="D156" s="80"/>
      <c r="E156" s="81"/>
    </row>
    <row r="157" spans="1:6" x14ac:dyDescent="0.3">
      <c r="A157" s="160"/>
      <c r="B157" s="161"/>
      <c r="C157" s="103" t="s">
        <v>27</v>
      </c>
      <c r="D157" s="82"/>
      <c r="E157" s="49">
        <v>37500</v>
      </c>
    </row>
    <row r="158" spans="1:6" x14ac:dyDescent="0.3">
      <c r="A158" s="156"/>
      <c r="B158" s="157"/>
      <c r="C158" s="18"/>
      <c r="D158" s="27"/>
      <c r="E158" s="20"/>
    </row>
    <row r="159" spans="1:6" x14ac:dyDescent="0.3">
      <c r="A159" s="156"/>
      <c r="B159" s="157"/>
      <c r="C159" s="162" t="s">
        <v>28</v>
      </c>
      <c r="D159" s="163"/>
      <c r="E159" s="164"/>
    </row>
    <row r="160" spans="1:6" x14ac:dyDescent="0.3">
      <c r="A160" s="156"/>
      <c r="B160" s="157"/>
      <c r="C160" s="169"/>
      <c r="D160" s="170"/>
      <c r="E160" s="50"/>
    </row>
    <row r="161" spans="1:5" x14ac:dyDescent="0.3">
      <c r="A161" s="156"/>
      <c r="B161" s="157"/>
      <c r="C161" s="167" t="s">
        <v>108</v>
      </c>
      <c r="D161" s="168"/>
      <c r="E161" s="50">
        <v>12500</v>
      </c>
    </row>
    <row r="162" spans="1:5" x14ac:dyDescent="0.3">
      <c r="A162" s="1"/>
      <c r="B162" s="2"/>
      <c r="C162" s="167"/>
      <c r="D162" s="168"/>
      <c r="E162" s="50"/>
    </row>
    <row r="163" spans="1:5" x14ac:dyDescent="0.3">
      <c r="A163" s="1"/>
      <c r="B163" s="2"/>
      <c r="C163" s="167"/>
      <c r="D163" s="168"/>
      <c r="E163" s="50"/>
    </row>
    <row r="164" spans="1:5" x14ac:dyDescent="0.3">
      <c r="A164" s="1"/>
      <c r="B164" s="2"/>
      <c r="C164" s="167"/>
      <c r="D164" s="168"/>
      <c r="E164" s="50"/>
    </row>
    <row r="165" spans="1:5" x14ac:dyDescent="0.3">
      <c r="A165" s="156"/>
      <c r="B165" s="157"/>
      <c r="C165" s="167"/>
      <c r="D165" s="168"/>
      <c r="E165" s="50"/>
    </row>
    <row r="166" spans="1:5" x14ac:dyDescent="0.3">
      <c r="A166" s="1"/>
      <c r="B166" s="2"/>
      <c r="C166" s="167"/>
      <c r="D166" s="168"/>
      <c r="E166" s="50"/>
    </row>
    <row r="167" spans="1:5" x14ac:dyDescent="0.3">
      <c r="A167" s="156"/>
      <c r="B167" s="157"/>
      <c r="C167" s="35" t="s">
        <v>15</v>
      </c>
      <c r="D167" s="51"/>
      <c r="E167" s="104">
        <f>SUM(E160:E166)</f>
        <v>12500</v>
      </c>
    </row>
    <row r="168" spans="1:5" x14ac:dyDescent="0.3">
      <c r="A168" s="1"/>
      <c r="B168" s="2"/>
      <c r="C168" s="35"/>
      <c r="D168" s="51"/>
      <c r="E168" s="52"/>
    </row>
    <row r="169" spans="1:5" x14ac:dyDescent="0.3">
      <c r="A169" s="156"/>
      <c r="B169" s="157"/>
      <c r="C169" s="171" t="s">
        <v>29</v>
      </c>
      <c r="D169" s="172"/>
      <c r="E169" s="105"/>
    </row>
    <row r="170" spans="1:5" x14ac:dyDescent="0.3">
      <c r="A170" s="156"/>
      <c r="B170" s="157"/>
      <c r="C170" s="169"/>
      <c r="D170" s="170"/>
      <c r="E170" s="50"/>
    </row>
    <row r="171" spans="1:5" x14ac:dyDescent="0.3">
      <c r="A171" s="1"/>
      <c r="B171" s="2"/>
      <c r="C171" s="167"/>
      <c r="D171" s="168"/>
      <c r="E171" s="50"/>
    </row>
    <row r="172" spans="1:5" x14ac:dyDescent="0.3">
      <c r="A172" s="1"/>
      <c r="B172" s="2"/>
      <c r="C172" s="167"/>
      <c r="D172" s="168"/>
      <c r="E172" s="50"/>
    </row>
    <row r="173" spans="1:5" x14ac:dyDescent="0.3">
      <c r="A173" s="1"/>
      <c r="B173" s="2"/>
      <c r="C173" s="167"/>
      <c r="D173" s="168"/>
      <c r="E173" s="50"/>
    </row>
    <row r="174" spans="1:5" x14ac:dyDescent="0.3">
      <c r="A174" s="156"/>
      <c r="B174" s="157"/>
      <c r="C174" s="167"/>
      <c r="D174" s="168"/>
      <c r="E174" s="50"/>
    </row>
    <row r="175" spans="1:5" x14ac:dyDescent="0.3">
      <c r="A175" s="156"/>
      <c r="B175" s="157"/>
      <c r="C175" s="167"/>
      <c r="D175" s="168"/>
      <c r="E175" s="50"/>
    </row>
    <row r="176" spans="1:5" x14ac:dyDescent="0.3">
      <c r="A176" s="156"/>
      <c r="B176" s="157"/>
      <c r="C176" s="167"/>
      <c r="D176" s="168"/>
      <c r="E176" s="50"/>
    </row>
    <row r="177" spans="1:5" x14ac:dyDescent="0.3">
      <c r="A177" s="156"/>
      <c r="B177" s="157"/>
      <c r="C177" s="35" t="s">
        <v>16</v>
      </c>
      <c r="D177" s="51"/>
      <c r="E177" s="104">
        <f>SUM(E170:E176)</f>
        <v>0</v>
      </c>
    </row>
    <row r="178" spans="1:5" x14ac:dyDescent="0.3">
      <c r="A178" s="8"/>
      <c r="B178" s="9"/>
      <c r="C178" s="14"/>
      <c r="D178" s="10"/>
      <c r="E178" s="15"/>
    </row>
    <row r="179" spans="1:5" x14ac:dyDescent="0.3">
      <c r="A179" s="156"/>
      <c r="B179" s="157"/>
      <c r="C179" s="35" t="s">
        <v>26</v>
      </c>
      <c r="D179" s="51"/>
      <c r="E179" s="104">
        <f>+E157+E167+E177</f>
        <v>50000</v>
      </c>
    </row>
    <row r="180" spans="1:5" x14ac:dyDescent="0.3">
      <c r="A180" s="1"/>
      <c r="B180" s="2"/>
      <c r="C180" s="35"/>
      <c r="D180" s="51"/>
      <c r="E180" s="16"/>
    </row>
    <row r="181" spans="1:5" ht="22.8" x14ac:dyDescent="0.3">
      <c r="A181" s="1"/>
      <c r="B181" s="2"/>
      <c r="C181" s="94" t="s">
        <v>30</v>
      </c>
      <c r="D181" s="53"/>
      <c r="E181" s="104">
        <f>+E145-E179</f>
        <v>786.03431457924307</v>
      </c>
    </row>
    <row r="182" spans="1:5" ht="15" thickBot="1" x14ac:dyDescent="0.35">
      <c r="A182" s="156"/>
      <c r="B182" s="157"/>
      <c r="C182" s="54"/>
      <c r="D182" s="55"/>
      <c r="E182" s="17"/>
    </row>
    <row r="183" spans="1:5" x14ac:dyDescent="0.3">
      <c r="C183" s="11"/>
      <c r="D183" s="11"/>
      <c r="E183" s="11"/>
    </row>
    <row r="184" spans="1:5" x14ac:dyDescent="0.3">
      <c r="C184" s="11"/>
      <c r="D184" s="11"/>
      <c r="E184" s="11"/>
    </row>
    <row r="185" spans="1:5" ht="15" thickBot="1" x14ac:dyDescent="0.35">
      <c r="C185" s="11"/>
      <c r="D185" s="11"/>
      <c r="E185" s="11"/>
    </row>
    <row r="186" spans="1:5" x14ac:dyDescent="0.3">
      <c r="C186" s="176" t="s">
        <v>33</v>
      </c>
      <c r="D186" s="177"/>
      <c r="E186" s="178"/>
    </row>
    <row r="187" spans="1:5" x14ac:dyDescent="0.3">
      <c r="C187" s="179" t="s">
        <v>34</v>
      </c>
      <c r="D187" s="180"/>
      <c r="E187" s="181"/>
    </row>
    <row r="188" spans="1:5" x14ac:dyDescent="0.3">
      <c r="C188" s="179"/>
      <c r="D188" s="180"/>
      <c r="E188" s="181"/>
    </row>
    <row r="189" spans="1:5" x14ac:dyDescent="0.3">
      <c r="C189" s="182"/>
      <c r="D189" s="183"/>
      <c r="E189" s="184"/>
    </row>
    <row r="190" spans="1:5" ht="76.5" customHeight="1" x14ac:dyDescent="0.3">
      <c r="C190" s="173" t="s">
        <v>109</v>
      </c>
      <c r="D190" s="174"/>
      <c r="E190" s="175"/>
    </row>
    <row r="191" spans="1:5" ht="165.75" customHeight="1" x14ac:dyDescent="0.3">
      <c r="C191" s="173" t="s">
        <v>110</v>
      </c>
      <c r="D191" s="174"/>
      <c r="E191" s="175"/>
    </row>
    <row r="192" spans="1:5" x14ac:dyDescent="0.3">
      <c r="C192" s="185" t="s">
        <v>35</v>
      </c>
      <c r="D192" s="186"/>
      <c r="E192" s="187"/>
    </row>
    <row r="193" spans="3:5" x14ac:dyDescent="0.3">
      <c r="C193" s="188"/>
      <c r="D193" s="189"/>
      <c r="E193" s="190"/>
    </row>
    <row r="194" spans="3:5" ht="112.05" customHeight="1" x14ac:dyDescent="0.3">
      <c r="C194" s="191" t="s">
        <v>167</v>
      </c>
      <c r="D194" s="174"/>
      <c r="E194" s="175"/>
    </row>
    <row r="195" spans="3:5" ht="15" customHeight="1" x14ac:dyDescent="0.3">
      <c r="C195" s="173"/>
      <c r="D195" s="174"/>
      <c r="E195" s="175"/>
    </row>
    <row r="196" spans="3:5" ht="15" customHeight="1" x14ac:dyDescent="0.3">
      <c r="C196" s="195"/>
      <c r="D196" s="196"/>
      <c r="E196" s="197"/>
    </row>
    <row r="197" spans="3:5" ht="15" customHeight="1" x14ac:dyDescent="0.3">
      <c r="C197" s="198"/>
      <c r="D197" s="199"/>
      <c r="E197" s="200"/>
    </row>
    <row r="198" spans="3:5" ht="25.5" customHeight="1" x14ac:dyDescent="0.3">
      <c r="C198" s="201" t="s">
        <v>36</v>
      </c>
      <c r="D198" s="202"/>
      <c r="E198" s="203"/>
    </row>
    <row r="199" spans="3:5" x14ac:dyDescent="0.3">
      <c r="C199" s="173"/>
      <c r="D199" s="174"/>
      <c r="E199" s="175"/>
    </row>
    <row r="200" spans="3:5" x14ac:dyDescent="0.3">
      <c r="C200" s="173"/>
      <c r="D200" s="174"/>
      <c r="E200" s="175"/>
    </row>
    <row r="201" spans="3:5" ht="25.5" customHeight="1" x14ac:dyDescent="0.3">
      <c r="C201" s="173" t="s">
        <v>215</v>
      </c>
      <c r="D201" s="174"/>
      <c r="E201" s="175"/>
    </row>
    <row r="202" spans="3:5" ht="15.6" x14ac:dyDescent="0.3">
      <c r="C202" s="204"/>
      <c r="D202" s="205"/>
      <c r="E202" s="206"/>
    </row>
    <row r="203" spans="3:5" x14ac:dyDescent="0.3">
      <c r="C203" s="173"/>
      <c r="D203" s="174"/>
      <c r="E203" s="175"/>
    </row>
    <row r="204" spans="3:5" ht="38.25" customHeight="1" x14ac:dyDescent="0.3">
      <c r="C204" s="207" t="s">
        <v>37</v>
      </c>
      <c r="D204" s="208"/>
      <c r="E204" s="209"/>
    </row>
    <row r="205" spans="3:5" ht="15" thickBot="1" x14ac:dyDescent="0.35">
      <c r="C205" s="192"/>
      <c r="D205" s="193"/>
      <c r="E205" s="194"/>
    </row>
  </sheetData>
  <sheetProtection algorithmName="SHA-512" hashValue="yKmnK1KwxbJrdNS8bayVZGaVVWtTz+lik7rZLdFY+VE6AoVQrQwqO74PJlWsxeZ+TmqtKvr1vr9pyDPWSapWCg==" saltValue="6g/llJMVqQnxUyY1kAa2XQ==" spinCount="100000" sheet="1" selectLockedCells="1"/>
  <mergeCells count="64">
    <mergeCell ref="C205:E205"/>
    <mergeCell ref="C196:E196"/>
    <mergeCell ref="C197:E197"/>
    <mergeCell ref="C198:E198"/>
    <mergeCell ref="C199:E199"/>
    <mergeCell ref="C200:E200"/>
    <mergeCell ref="C201:E201"/>
    <mergeCell ref="C202:E202"/>
    <mergeCell ref="C203:E203"/>
    <mergeCell ref="C204:E204"/>
    <mergeCell ref="C195:E195"/>
    <mergeCell ref="C186:E186"/>
    <mergeCell ref="C187:E187"/>
    <mergeCell ref="C188:E188"/>
    <mergeCell ref="C189:E189"/>
    <mergeCell ref="C190:E190"/>
    <mergeCell ref="C191:E191"/>
    <mergeCell ref="C192:E192"/>
    <mergeCell ref="C193:E193"/>
    <mergeCell ref="C194:E194"/>
    <mergeCell ref="A182:B182"/>
    <mergeCell ref="A175:B175"/>
    <mergeCell ref="C175:D175"/>
    <mergeCell ref="A176:B176"/>
    <mergeCell ref="C176:D176"/>
    <mergeCell ref="A177:B177"/>
    <mergeCell ref="A179:B179"/>
    <mergeCell ref="C171:D171"/>
    <mergeCell ref="C172:D172"/>
    <mergeCell ref="C173:D173"/>
    <mergeCell ref="A174:B174"/>
    <mergeCell ref="C174:D174"/>
    <mergeCell ref="A167:B167"/>
    <mergeCell ref="A169:B169"/>
    <mergeCell ref="C169:D169"/>
    <mergeCell ref="A170:B170"/>
    <mergeCell ref="C170:D170"/>
    <mergeCell ref="C166:D166"/>
    <mergeCell ref="A160:B160"/>
    <mergeCell ref="C160:D160"/>
    <mergeCell ref="A161:B161"/>
    <mergeCell ref="C161:D161"/>
    <mergeCell ref="C162:D162"/>
    <mergeCell ref="C163:D163"/>
    <mergeCell ref="C164:D164"/>
    <mergeCell ref="A165:B165"/>
    <mergeCell ref="C165:D165"/>
    <mergeCell ref="A158:B158"/>
    <mergeCell ref="A7:B7"/>
    <mergeCell ref="A70:B70"/>
    <mergeCell ref="A71:B71"/>
    <mergeCell ref="C159:E159"/>
    <mergeCell ref="A69:B69"/>
    <mergeCell ref="C150:D150"/>
    <mergeCell ref="A156:B156"/>
    <mergeCell ref="A157:B157"/>
    <mergeCell ref="A159:B159"/>
    <mergeCell ref="B1:E1"/>
    <mergeCell ref="C3:E3"/>
    <mergeCell ref="A4:B4"/>
    <mergeCell ref="C4:E4"/>
    <mergeCell ref="C155:E155"/>
    <mergeCell ref="A72:B72"/>
    <mergeCell ref="A5:B5"/>
  </mergeCells>
  <phoneticPr fontId="0" type="noConversion"/>
  <pageMargins left="0.31496062992125984" right="0.31496062992125984" top="0.74803149606299213" bottom="0.74803149606299213" header="0.31496062992125984" footer="0.31496062992125984"/>
  <pageSetup paperSize="9" scale="88"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topLeftCell="A7" workbookViewId="0">
      <selection activeCell="B26" sqref="B26"/>
    </sheetView>
  </sheetViews>
  <sheetFormatPr defaultRowHeight="14.4" x14ac:dyDescent="0.3"/>
  <cols>
    <col min="1" max="1" width="16.44140625" bestFit="1" customWidth="1"/>
    <col min="2" max="2" width="67.5546875" customWidth="1"/>
    <col min="3" max="3" width="14.109375" customWidth="1"/>
    <col min="4" max="4" width="14.5546875" customWidth="1"/>
    <col min="5" max="5" width="11.77734375" bestFit="1" customWidth="1"/>
  </cols>
  <sheetData>
    <row r="1" spans="1:5" ht="43.2" x14ac:dyDescent="0.3">
      <c r="A1" s="108" t="s">
        <v>42</v>
      </c>
      <c r="B1" s="108" t="s">
        <v>43</v>
      </c>
      <c r="C1" s="113" t="s">
        <v>44</v>
      </c>
      <c r="D1" s="113" t="s">
        <v>45</v>
      </c>
      <c r="E1" s="113" t="s">
        <v>46</v>
      </c>
    </row>
    <row r="2" spans="1:5" ht="57.6" x14ac:dyDescent="0.3">
      <c r="A2" s="109" t="s">
        <v>47</v>
      </c>
      <c r="B2" s="110" t="s">
        <v>203</v>
      </c>
      <c r="C2" s="111">
        <v>22.66</v>
      </c>
      <c r="D2" s="112">
        <v>64.5</v>
      </c>
      <c r="E2" s="111">
        <f>D2*C2</f>
        <v>1461.57</v>
      </c>
    </row>
    <row r="3" spans="1:5" ht="28.8" x14ac:dyDescent="0.3">
      <c r="A3" s="109" t="s">
        <v>48</v>
      </c>
      <c r="B3" s="110" t="s">
        <v>49</v>
      </c>
      <c r="C3" s="111">
        <v>21.47</v>
      </c>
      <c r="D3" s="112">
        <v>10</v>
      </c>
      <c r="E3" s="111">
        <v>214.7</v>
      </c>
    </row>
    <row r="4" spans="1:5" ht="43.2" x14ac:dyDescent="0.3">
      <c r="A4" s="109" t="s">
        <v>50</v>
      </c>
      <c r="B4" s="110" t="s">
        <v>204</v>
      </c>
      <c r="C4" s="111">
        <v>20.48</v>
      </c>
      <c r="D4" s="112">
        <v>73.5</v>
      </c>
      <c r="E4" s="111">
        <f>+C4*D4</f>
        <v>1505.28</v>
      </c>
    </row>
    <row r="5" spans="1:5" ht="57.6" x14ac:dyDescent="0.3">
      <c r="A5" s="109" t="s">
        <v>51</v>
      </c>
      <c r="B5" s="110" t="s">
        <v>205</v>
      </c>
      <c r="C5" s="111">
        <v>20.83</v>
      </c>
      <c r="D5" s="112">
        <v>64.5</v>
      </c>
      <c r="E5" s="111">
        <f>+C5*D5</f>
        <v>1343.5349999999999</v>
      </c>
    </row>
    <row r="6" spans="1:5" ht="21" customHeight="1" x14ac:dyDescent="0.3">
      <c r="A6" s="213" t="s">
        <v>52</v>
      </c>
      <c r="B6" s="110" t="s">
        <v>212</v>
      </c>
      <c r="C6" s="210">
        <v>21.51</v>
      </c>
      <c r="D6" s="213">
        <v>387</v>
      </c>
      <c r="E6" s="210">
        <f>+C6*D6</f>
        <v>8324.3700000000008</v>
      </c>
    </row>
    <row r="7" spans="1:5" ht="23.4" customHeight="1" x14ac:dyDescent="0.3">
      <c r="A7" s="214"/>
      <c r="B7" s="110" t="s">
        <v>53</v>
      </c>
      <c r="C7" s="211"/>
      <c r="D7" s="214"/>
      <c r="E7" s="211"/>
    </row>
    <row r="8" spans="1:5" ht="57.6" x14ac:dyDescent="0.3">
      <c r="A8" s="215"/>
      <c r="B8" s="110" t="s">
        <v>213</v>
      </c>
      <c r="C8" s="212"/>
      <c r="D8" s="215"/>
      <c r="E8" s="212"/>
    </row>
    <row r="9" spans="1:5" x14ac:dyDescent="0.3">
      <c r="A9" s="109" t="s">
        <v>206</v>
      </c>
      <c r="B9" s="110" t="s">
        <v>207</v>
      </c>
      <c r="C9" s="111">
        <v>20.71</v>
      </c>
      <c r="D9" s="112">
        <v>14.5</v>
      </c>
      <c r="E9" s="111">
        <f>+C9*D9</f>
        <v>300.29500000000002</v>
      </c>
    </row>
    <row r="10" spans="1:5" x14ac:dyDescent="0.3">
      <c r="A10" s="109" t="s">
        <v>208</v>
      </c>
      <c r="B10" s="110" t="s">
        <v>209</v>
      </c>
      <c r="C10" s="111">
        <v>20.12</v>
      </c>
      <c r="D10" s="112">
        <v>17</v>
      </c>
      <c r="E10" s="111">
        <f t="shared" ref="E10:E11" si="0">+C10*D10</f>
        <v>342.04</v>
      </c>
    </row>
    <row r="11" spans="1:5" x14ac:dyDescent="0.3">
      <c r="A11" s="109" t="s">
        <v>210</v>
      </c>
      <c r="B11" s="110" t="s">
        <v>211</v>
      </c>
      <c r="C11" s="111">
        <v>19.54</v>
      </c>
      <c r="D11" s="112">
        <v>18</v>
      </c>
      <c r="E11" s="111">
        <f t="shared" si="0"/>
        <v>351.71999999999997</v>
      </c>
    </row>
    <row r="12" spans="1:5" x14ac:dyDescent="0.3">
      <c r="A12" s="144"/>
      <c r="B12" s="145"/>
      <c r="C12" s="146"/>
      <c r="D12" s="144"/>
      <c r="E12" s="146"/>
    </row>
    <row r="13" spans="1:5" x14ac:dyDescent="0.3">
      <c r="A13" s="144"/>
      <c r="B13" s="145"/>
      <c r="C13" s="146"/>
      <c r="D13" s="144"/>
      <c r="E13" s="146"/>
    </row>
    <row r="14" spans="1:5" x14ac:dyDescent="0.3">
      <c r="A14" s="106"/>
      <c r="B14" s="106"/>
      <c r="C14" s="106"/>
      <c r="D14" s="106"/>
      <c r="E14" s="107">
        <f>+SUM(E2:E11)</f>
        <v>13843.510000000002</v>
      </c>
    </row>
  </sheetData>
  <mergeCells count="4">
    <mergeCell ref="C6:C8"/>
    <mergeCell ref="D6:D8"/>
    <mergeCell ref="E6:E8"/>
    <mergeCell ref="A6:A8"/>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
  <sheetViews>
    <sheetView tabSelected="1" workbookViewId="0">
      <selection activeCell="F16" sqref="F16"/>
    </sheetView>
  </sheetViews>
  <sheetFormatPr defaultRowHeight="14.4" x14ac:dyDescent="0.3"/>
  <cols>
    <col min="1" max="1" width="39.88671875" customWidth="1"/>
    <col min="2" max="2" width="17.109375" customWidth="1"/>
    <col min="3" max="3" width="52.44140625" customWidth="1"/>
    <col min="4" max="4" width="11.21875" customWidth="1"/>
    <col min="6" max="6" width="10.5546875" bestFit="1" customWidth="1"/>
    <col min="7" max="7" width="10.88671875" customWidth="1"/>
    <col min="8" max="9" width="9.44140625" bestFit="1" customWidth="1"/>
    <col min="10" max="10" width="11.5546875" customWidth="1"/>
    <col min="11" max="12" width="11.77734375" bestFit="1" customWidth="1"/>
  </cols>
  <sheetData>
    <row r="1" spans="1:13" x14ac:dyDescent="0.3">
      <c r="D1" s="219">
        <v>2024</v>
      </c>
      <c r="E1" s="219"/>
      <c r="F1" s="219"/>
      <c r="G1" s="223">
        <v>2025</v>
      </c>
      <c r="H1" s="223"/>
      <c r="I1" s="223"/>
      <c r="J1" s="127" t="s">
        <v>60</v>
      </c>
    </row>
    <row r="2" spans="1:13" x14ac:dyDescent="0.3">
      <c r="A2" s="114" t="s">
        <v>55</v>
      </c>
      <c r="B2" s="114" t="s">
        <v>56</v>
      </c>
      <c r="C2" s="114" t="s">
        <v>118</v>
      </c>
      <c r="D2" s="114" t="s">
        <v>112</v>
      </c>
      <c r="E2" s="114" t="s">
        <v>111</v>
      </c>
      <c r="F2" s="114" t="s">
        <v>57</v>
      </c>
      <c r="G2" s="114" t="s">
        <v>112</v>
      </c>
      <c r="H2" s="114" t="s">
        <v>111</v>
      </c>
      <c r="I2" s="124" t="s">
        <v>57</v>
      </c>
      <c r="J2" s="126"/>
    </row>
    <row r="3" spans="1:13" ht="46.8" customHeight="1" x14ac:dyDescent="0.3">
      <c r="A3" s="115" t="s">
        <v>181</v>
      </c>
      <c r="B3" s="115" t="s">
        <v>59</v>
      </c>
      <c r="C3" s="115" t="s">
        <v>119</v>
      </c>
      <c r="D3" s="116">
        <v>19.8</v>
      </c>
      <c r="E3" s="112">
        <v>128</v>
      </c>
      <c r="F3" s="117">
        <f t="shared" ref="F3" si="0">+E3*D3</f>
        <v>2534.4</v>
      </c>
      <c r="G3" s="116">
        <v>20.381260000000001</v>
      </c>
      <c r="H3" s="112">
        <f>64+40+16</f>
        <v>120</v>
      </c>
      <c r="I3" s="125">
        <f>+H3*G3</f>
        <v>2445.7512000000002</v>
      </c>
      <c r="J3" s="128">
        <f>+F3+I3</f>
        <v>4980.1512000000002</v>
      </c>
      <c r="K3" s="120"/>
      <c r="L3" s="119"/>
      <c r="M3">
        <f>+(E3+H3)/8</f>
        <v>31</v>
      </c>
    </row>
    <row r="4" spans="1:13" ht="49.8" customHeight="1" x14ac:dyDescent="0.3">
      <c r="A4" s="115" t="s">
        <v>182</v>
      </c>
      <c r="B4" s="115" t="s">
        <v>59</v>
      </c>
      <c r="C4" s="115" t="s">
        <v>120</v>
      </c>
      <c r="D4" s="116">
        <v>0</v>
      </c>
      <c r="E4" s="112">
        <v>0</v>
      </c>
      <c r="F4" s="117">
        <f>+E4*D4</f>
        <v>0</v>
      </c>
      <c r="G4" s="116">
        <v>17.3796</v>
      </c>
      <c r="H4" s="112">
        <f>120+80+40+16</f>
        <v>256</v>
      </c>
      <c r="I4" s="125">
        <f>+H4*G4</f>
        <v>4449.1776</v>
      </c>
      <c r="J4" s="128">
        <f>+F4+I4</f>
        <v>4449.1776</v>
      </c>
      <c r="K4" s="120"/>
      <c r="L4" s="119"/>
      <c r="M4">
        <f t="shared" ref="M4:M6" si="1">+(E4+H4)/8</f>
        <v>32</v>
      </c>
    </row>
    <row r="5" spans="1:13" ht="33" customHeight="1" x14ac:dyDescent="0.3">
      <c r="A5" s="115" t="s">
        <v>180</v>
      </c>
      <c r="B5" s="115" t="s">
        <v>58</v>
      </c>
      <c r="C5" s="115" t="s">
        <v>121</v>
      </c>
      <c r="D5" s="116">
        <v>22.25</v>
      </c>
      <c r="E5" s="112">
        <v>88</v>
      </c>
      <c r="F5" s="117">
        <f t="shared" ref="F5:F6" si="2">+E5*D5</f>
        <v>1958</v>
      </c>
      <c r="G5" s="116">
        <v>22.13419</v>
      </c>
      <c r="H5" s="112">
        <f>136-88+40+16+16</f>
        <v>120</v>
      </c>
      <c r="I5" s="125">
        <f>+H5*G5</f>
        <v>2656.1028000000001</v>
      </c>
      <c r="J5" s="128">
        <f t="shared" ref="J5:J6" si="3">+F5+I5</f>
        <v>4614.1028000000006</v>
      </c>
      <c r="K5" s="120"/>
      <c r="L5" s="119"/>
      <c r="M5">
        <f t="shared" si="1"/>
        <v>26</v>
      </c>
    </row>
    <row r="6" spans="1:13" ht="31.8" customHeight="1" x14ac:dyDescent="0.3">
      <c r="A6" s="115" t="s">
        <v>183</v>
      </c>
      <c r="B6" s="115" t="s">
        <v>58</v>
      </c>
      <c r="C6" s="115" t="s">
        <v>121</v>
      </c>
      <c r="D6" s="116">
        <v>18.510000000000002</v>
      </c>
      <c r="E6" s="112">
        <v>104</v>
      </c>
      <c r="F6" s="117">
        <f t="shared" si="2"/>
        <v>1925.0400000000002</v>
      </c>
      <c r="G6" s="116">
        <v>19.09215</v>
      </c>
      <c r="H6" s="112">
        <f>160-104+40+16+16</f>
        <v>128</v>
      </c>
      <c r="I6" s="125">
        <f t="shared" ref="I6" si="4">+H6*G6</f>
        <v>2443.7952</v>
      </c>
      <c r="J6" s="128">
        <f t="shared" si="3"/>
        <v>4368.8352000000004</v>
      </c>
      <c r="K6" s="120"/>
      <c r="L6" s="119"/>
      <c r="M6">
        <f t="shared" si="1"/>
        <v>29</v>
      </c>
    </row>
    <row r="7" spans="1:13" x14ac:dyDescent="0.3">
      <c r="A7" s="115"/>
      <c r="B7" s="115"/>
      <c r="C7" s="115"/>
      <c r="D7" s="116"/>
      <c r="E7" s="112"/>
      <c r="F7" s="117"/>
      <c r="G7" s="116"/>
      <c r="H7" s="112"/>
      <c r="I7" s="125"/>
      <c r="J7" s="126"/>
    </row>
    <row r="8" spans="1:13" x14ac:dyDescent="0.3">
      <c r="A8" s="122" t="s">
        <v>60</v>
      </c>
      <c r="B8" s="122"/>
      <c r="C8" s="122"/>
      <c r="D8" s="220">
        <f>+SUM(F3:F7)</f>
        <v>6417.44</v>
      </c>
      <c r="E8" s="221"/>
      <c r="F8" s="222"/>
      <c r="G8" s="216">
        <f>+SUM(I3:I7)</f>
        <v>11994.826800000001</v>
      </c>
      <c r="H8" s="217"/>
      <c r="I8" s="217"/>
      <c r="J8" s="118">
        <f>+SUM(J3:J6)</f>
        <v>18412.266800000001</v>
      </c>
      <c r="K8" s="123"/>
      <c r="L8" s="123"/>
    </row>
    <row r="10" spans="1:13" x14ac:dyDescent="0.3">
      <c r="A10" s="218" t="s">
        <v>113</v>
      </c>
      <c r="B10" s="218"/>
      <c r="C10" s="218"/>
      <c r="D10" s="218"/>
      <c r="E10" s="218"/>
      <c r="F10" s="218"/>
      <c r="G10" s="218"/>
      <c r="H10" s="218"/>
      <c r="I10" s="218"/>
      <c r="J10" s="218"/>
    </row>
  </sheetData>
  <mergeCells count="5">
    <mergeCell ref="G8:I8"/>
    <mergeCell ref="A10:J10"/>
    <mergeCell ref="D1:F1"/>
    <mergeCell ref="D8:F8"/>
    <mergeCell ref="G1:I1"/>
  </mergeCells>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zoomScale="130" zoomScaleNormal="130" workbookViewId="0">
      <pane ySplit="1" topLeftCell="A2" activePane="bottomLeft" state="frozen"/>
      <selection pane="bottomLeft" activeCell="H43" sqref="H43"/>
    </sheetView>
  </sheetViews>
  <sheetFormatPr defaultRowHeight="14.4" x14ac:dyDescent="0.3"/>
  <cols>
    <col min="1" max="1" width="17.88671875" customWidth="1"/>
    <col min="2" max="2" width="11.109375" customWidth="1"/>
    <col min="3" max="3" width="23.88671875" customWidth="1"/>
    <col min="4" max="4" width="16.109375" bestFit="1" customWidth="1"/>
    <col min="5" max="5" width="14.21875" bestFit="1" customWidth="1"/>
    <col min="6" max="6" width="11.44140625" bestFit="1" customWidth="1"/>
    <col min="7" max="7" width="12.77734375" customWidth="1"/>
    <col min="8" max="8" width="22.33203125" customWidth="1"/>
  </cols>
  <sheetData>
    <row r="1" spans="1:10" x14ac:dyDescent="0.3">
      <c r="A1" s="114" t="s">
        <v>104</v>
      </c>
      <c r="B1" s="114" t="s">
        <v>103</v>
      </c>
      <c r="C1" s="114" t="s">
        <v>179</v>
      </c>
      <c r="D1" s="114" t="s">
        <v>105</v>
      </c>
      <c r="E1" s="114" t="s">
        <v>101</v>
      </c>
      <c r="F1" s="114" t="s">
        <v>102</v>
      </c>
      <c r="G1" s="114" t="s">
        <v>100</v>
      </c>
      <c r="H1" s="114" t="s">
        <v>168</v>
      </c>
    </row>
    <row r="2" spans="1:10" x14ac:dyDescent="0.3">
      <c r="A2" s="126" t="s">
        <v>152</v>
      </c>
      <c r="B2" s="126" t="s">
        <v>67</v>
      </c>
      <c r="C2" s="126" t="s">
        <v>72</v>
      </c>
      <c r="D2" s="126" t="s">
        <v>69</v>
      </c>
      <c r="E2" s="130" t="s">
        <v>153</v>
      </c>
      <c r="F2" s="131">
        <v>45573</v>
      </c>
      <c r="G2" s="132">
        <v>8.99</v>
      </c>
      <c r="H2" s="139">
        <v>10.176680000000001</v>
      </c>
      <c r="J2" s="120"/>
    </row>
    <row r="3" spans="1:10" x14ac:dyDescent="0.3">
      <c r="A3" s="126" t="s">
        <v>154</v>
      </c>
      <c r="B3" s="126" t="s">
        <v>67</v>
      </c>
      <c r="C3" s="126" t="s">
        <v>97</v>
      </c>
      <c r="D3" s="126" t="s">
        <v>69</v>
      </c>
      <c r="E3" s="133" t="s">
        <v>155</v>
      </c>
      <c r="F3" s="131">
        <v>45573</v>
      </c>
      <c r="G3" s="132">
        <v>9.59</v>
      </c>
      <c r="H3" s="139">
        <v>10.855879999999999</v>
      </c>
      <c r="J3" s="120"/>
    </row>
    <row r="4" spans="1:10" x14ac:dyDescent="0.3">
      <c r="A4" s="126" t="s">
        <v>156</v>
      </c>
      <c r="B4" s="126" t="s">
        <v>67</v>
      </c>
      <c r="C4" s="126" t="s">
        <v>89</v>
      </c>
      <c r="D4" s="126" t="s">
        <v>78</v>
      </c>
      <c r="E4" s="130" t="s">
        <v>128</v>
      </c>
      <c r="F4" s="134">
        <v>45574</v>
      </c>
      <c r="G4" s="132">
        <v>12.58</v>
      </c>
      <c r="H4" s="139">
        <v>11.741333333333333</v>
      </c>
      <c r="J4" s="120"/>
    </row>
    <row r="5" spans="1:10" x14ac:dyDescent="0.3">
      <c r="A5" s="126" t="s">
        <v>157</v>
      </c>
      <c r="B5" s="126" t="s">
        <v>67</v>
      </c>
      <c r="C5" s="126" t="s">
        <v>81</v>
      </c>
      <c r="D5" s="126" t="s">
        <v>69</v>
      </c>
      <c r="E5" s="130" t="s">
        <v>158</v>
      </c>
      <c r="F5" s="135">
        <v>45574</v>
      </c>
      <c r="G5" s="132">
        <v>15.7</v>
      </c>
      <c r="H5" s="139">
        <v>17.772399999999998</v>
      </c>
      <c r="J5" s="120"/>
    </row>
    <row r="6" spans="1:10" x14ac:dyDescent="0.3">
      <c r="A6" s="126" t="s">
        <v>159</v>
      </c>
      <c r="B6" s="126" t="s">
        <v>67</v>
      </c>
      <c r="C6" s="126" t="s">
        <v>90</v>
      </c>
      <c r="D6" s="126" t="s">
        <v>69</v>
      </c>
      <c r="E6" s="130" t="s">
        <v>128</v>
      </c>
      <c r="F6" s="135">
        <v>45574</v>
      </c>
      <c r="G6" s="132">
        <v>17.87</v>
      </c>
      <c r="H6" s="139">
        <v>20.228840000000002</v>
      </c>
      <c r="J6" s="120"/>
    </row>
    <row r="7" spans="1:10" x14ac:dyDescent="0.3">
      <c r="A7" s="126" t="s">
        <v>142</v>
      </c>
      <c r="B7" s="126" t="s">
        <v>67</v>
      </c>
      <c r="C7" s="126" t="s">
        <v>99</v>
      </c>
      <c r="D7" s="126" t="s">
        <v>78</v>
      </c>
      <c r="E7" s="130" t="s">
        <v>143</v>
      </c>
      <c r="F7" s="136">
        <v>45576</v>
      </c>
      <c r="G7" s="132">
        <v>17.98</v>
      </c>
      <c r="H7" s="139">
        <v>16.684000000000001</v>
      </c>
      <c r="J7" s="120"/>
    </row>
    <row r="8" spans="1:10" x14ac:dyDescent="0.3">
      <c r="A8" s="126" t="s">
        <v>160</v>
      </c>
      <c r="B8" s="126" t="s">
        <v>67</v>
      </c>
      <c r="C8" s="126" t="s">
        <v>87</v>
      </c>
      <c r="D8" s="126" t="s">
        <v>69</v>
      </c>
      <c r="E8" s="130" t="s">
        <v>128</v>
      </c>
      <c r="F8" s="135">
        <v>45574</v>
      </c>
      <c r="G8" s="132">
        <v>18.010000000000002</v>
      </c>
      <c r="H8" s="139">
        <v>20.387320000000003</v>
      </c>
      <c r="J8" s="120"/>
    </row>
    <row r="9" spans="1:10" x14ac:dyDescent="0.3">
      <c r="A9" s="126" t="s">
        <v>161</v>
      </c>
      <c r="B9" s="126" t="s">
        <v>67</v>
      </c>
      <c r="C9" s="126" t="s">
        <v>76</v>
      </c>
      <c r="D9" s="126" t="s">
        <v>69</v>
      </c>
      <c r="E9" s="130" t="s">
        <v>162</v>
      </c>
      <c r="F9" s="136">
        <v>45573</v>
      </c>
      <c r="G9" s="132">
        <v>18.02</v>
      </c>
      <c r="H9" s="139">
        <v>20.39864</v>
      </c>
      <c r="J9" s="120"/>
    </row>
    <row r="10" spans="1:10" x14ac:dyDescent="0.3">
      <c r="A10" s="126" t="s">
        <v>163</v>
      </c>
      <c r="B10" s="126" t="s">
        <v>67</v>
      </c>
      <c r="C10" s="126" t="s">
        <v>94</v>
      </c>
      <c r="D10" s="126" t="s">
        <v>69</v>
      </c>
      <c r="E10" s="130" t="s">
        <v>164</v>
      </c>
      <c r="F10" s="136">
        <v>45590</v>
      </c>
      <c r="G10" s="132">
        <v>18.02</v>
      </c>
      <c r="H10" s="139">
        <v>20.39864</v>
      </c>
      <c r="J10" s="120"/>
    </row>
    <row r="11" spans="1:10" x14ac:dyDescent="0.3">
      <c r="A11" s="137" t="s">
        <v>122</v>
      </c>
      <c r="B11" s="126" t="s">
        <v>67</v>
      </c>
      <c r="C11" s="126" t="s">
        <v>74</v>
      </c>
      <c r="D11" s="126" t="s">
        <v>69</v>
      </c>
      <c r="E11" s="130">
        <v>20244491849</v>
      </c>
      <c r="F11" s="136">
        <v>45573</v>
      </c>
      <c r="G11" s="132">
        <v>19.04</v>
      </c>
      <c r="H11" s="139">
        <v>21.553279999999997</v>
      </c>
      <c r="J11" s="120"/>
    </row>
    <row r="12" spans="1:10" x14ac:dyDescent="0.3">
      <c r="A12" s="126" t="s">
        <v>123</v>
      </c>
      <c r="B12" s="126" t="s">
        <v>67</v>
      </c>
      <c r="C12" s="126" t="s">
        <v>82</v>
      </c>
      <c r="D12" s="126" t="s">
        <v>69</v>
      </c>
      <c r="E12" s="130" t="s">
        <v>124</v>
      </c>
      <c r="F12" s="135">
        <v>45574</v>
      </c>
      <c r="G12" s="132">
        <v>20.23</v>
      </c>
      <c r="H12" s="139">
        <v>22.900359999999999</v>
      </c>
      <c r="J12" s="120"/>
    </row>
    <row r="13" spans="1:10" x14ac:dyDescent="0.3">
      <c r="A13" s="126" t="s">
        <v>125</v>
      </c>
      <c r="B13" s="126" t="s">
        <v>67</v>
      </c>
      <c r="C13" s="126" t="s">
        <v>83</v>
      </c>
      <c r="D13" s="126" t="s">
        <v>69</v>
      </c>
      <c r="E13" s="130" t="s">
        <v>124</v>
      </c>
      <c r="F13" s="135">
        <v>45574</v>
      </c>
      <c r="G13" s="138">
        <v>23.58</v>
      </c>
      <c r="H13" s="139">
        <v>26.692559999999997</v>
      </c>
      <c r="J13" s="120"/>
    </row>
    <row r="14" spans="1:10" x14ac:dyDescent="0.3">
      <c r="A14" s="126" t="s">
        <v>126</v>
      </c>
      <c r="B14" s="126" t="s">
        <v>91</v>
      </c>
      <c r="C14" s="126" t="s">
        <v>92</v>
      </c>
      <c r="D14" s="126" t="s">
        <v>78</v>
      </c>
      <c r="E14" s="130">
        <v>4241166401</v>
      </c>
      <c r="F14" s="135">
        <v>45588</v>
      </c>
      <c r="G14" s="132">
        <v>28.05</v>
      </c>
      <c r="H14" s="139">
        <v>26.206</v>
      </c>
      <c r="J14" s="120"/>
    </row>
    <row r="15" spans="1:10" x14ac:dyDescent="0.3">
      <c r="A15" s="126" t="s">
        <v>127</v>
      </c>
      <c r="B15" s="126" t="s">
        <v>67</v>
      </c>
      <c r="C15" s="126" t="s">
        <v>85</v>
      </c>
      <c r="D15" s="126" t="s">
        <v>69</v>
      </c>
      <c r="E15" s="130" t="s">
        <v>128</v>
      </c>
      <c r="F15" s="135">
        <v>45574</v>
      </c>
      <c r="G15" s="132">
        <v>29</v>
      </c>
      <c r="H15" s="139">
        <v>32.828000000000003</v>
      </c>
      <c r="J15" s="120"/>
    </row>
    <row r="16" spans="1:10" x14ac:dyDescent="0.3">
      <c r="A16" s="126" t="s">
        <v>129</v>
      </c>
      <c r="B16" s="126" t="s">
        <v>67</v>
      </c>
      <c r="C16" s="126" t="s">
        <v>96</v>
      </c>
      <c r="D16" s="126" t="s">
        <v>69</v>
      </c>
      <c r="E16" s="130" t="s">
        <v>130</v>
      </c>
      <c r="F16" s="136">
        <v>45593</v>
      </c>
      <c r="G16" s="132">
        <v>30.97</v>
      </c>
      <c r="H16" s="139">
        <v>35.058039999999998</v>
      </c>
      <c r="J16" s="120"/>
    </row>
    <row r="17" spans="1:10" x14ac:dyDescent="0.3">
      <c r="A17" s="126" t="s">
        <v>131</v>
      </c>
      <c r="B17" s="126" t="s">
        <v>67</v>
      </c>
      <c r="C17" s="126" t="s">
        <v>95</v>
      </c>
      <c r="D17" s="126" t="s">
        <v>69</v>
      </c>
      <c r="E17" s="130" t="s">
        <v>132</v>
      </c>
      <c r="F17" s="136">
        <v>45593</v>
      </c>
      <c r="G17" s="132">
        <v>33.74</v>
      </c>
      <c r="H17" s="139">
        <v>38.193680000000001</v>
      </c>
      <c r="J17" s="120"/>
    </row>
    <row r="18" spans="1:10" x14ac:dyDescent="0.3">
      <c r="A18" s="126" t="s">
        <v>133</v>
      </c>
      <c r="B18" s="126" t="s">
        <v>67</v>
      </c>
      <c r="C18" s="126" t="s">
        <v>84</v>
      </c>
      <c r="D18" s="126" t="s">
        <v>69</v>
      </c>
      <c r="E18" s="130" t="s">
        <v>124</v>
      </c>
      <c r="F18" s="135">
        <v>45574</v>
      </c>
      <c r="G18" s="132">
        <v>42.02</v>
      </c>
      <c r="H18" s="139">
        <v>47.566640000000007</v>
      </c>
      <c r="J18" s="120"/>
    </row>
    <row r="19" spans="1:10" x14ac:dyDescent="0.3">
      <c r="A19" s="126" t="s">
        <v>134</v>
      </c>
      <c r="B19" s="126" t="s">
        <v>67</v>
      </c>
      <c r="C19" s="126" t="s">
        <v>73</v>
      </c>
      <c r="D19" s="126" t="s">
        <v>69</v>
      </c>
      <c r="E19" s="130" t="s">
        <v>135</v>
      </c>
      <c r="F19" s="135">
        <v>45574</v>
      </c>
      <c r="G19" s="132">
        <v>42.16</v>
      </c>
      <c r="H19" s="139">
        <v>47.725119999999997</v>
      </c>
      <c r="J19" s="120"/>
    </row>
    <row r="20" spans="1:10" x14ac:dyDescent="0.3">
      <c r="A20" s="140" t="s">
        <v>136</v>
      </c>
      <c r="B20" s="140" t="s">
        <v>67</v>
      </c>
      <c r="C20" s="140" t="s">
        <v>70</v>
      </c>
      <c r="D20" s="140" t="s">
        <v>69</v>
      </c>
      <c r="E20" s="141" t="s">
        <v>137</v>
      </c>
      <c r="F20" s="135">
        <v>45574</v>
      </c>
      <c r="G20" s="138">
        <v>44.45</v>
      </c>
      <c r="H20" s="139">
        <v>50.317400000000006</v>
      </c>
      <c r="J20" s="120"/>
    </row>
    <row r="21" spans="1:10" x14ac:dyDescent="0.3">
      <c r="A21" s="126" t="s">
        <v>138</v>
      </c>
      <c r="B21" s="126" t="s">
        <v>67</v>
      </c>
      <c r="C21" s="126" t="s">
        <v>68</v>
      </c>
      <c r="D21" s="126" t="s">
        <v>69</v>
      </c>
      <c r="E21" s="130" t="s">
        <v>139</v>
      </c>
      <c r="F21" s="136">
        <v>45574</v>
      </c>
      <c r="G21" s="132">
        <v>45.03</v>
      </c>
      <c r="H21" s="139">
        <v>50.973960000000005</v>
      </c>
      <c r="J21" s="120"/>
    </row>
    <row r="22" spans="1:10" x14ac:dyDescent="0.3">
      <c r="A22" s="126" t="s">
        <v>125</v>
      </c>
      <c r="B22" s="126" t="s">
        <v>67</v>
      </c>
      <c r="C22" s="126" t="s">
        <v>98</v>
      </c>
      <c r="D22" s="126" t="s">
        <v>69</v>
      </c>
      <c r="E22" s="130" t="s">
        <v>130</v>
      </c>
      <c r="F22" s="136">
        <v>45593</v>
      </c>
      <c r="G22" s="132">
        <v>45.82</v>
      </c>
      <c r="H22" s="139">
        <v>51.86824</v>
      </c>
      <c r="J22" s="120"/>
    </row>
    <row r="23" spans="1:10" x14ac:dyDescent="0.3">
      <c r="A23" s="142" t="s">
        <v>140</v>
      </c>
      <c r="B23" s="126" t="s">
        <v>67</v>
      </c>
      <c r="C23" s="126" t="s">
        <v>79</v>
      </c>
      <c r="D23" s="126" t="s">
        <v>69</v>
      </c>
      <c r="E23" s="130" t="s">
        <v>141</v>
      </c>
      <c r="F23" s="136">
        <v>45573</v>
      </c>
      <c r="G23" s="132">
        <v>45.97</v>
      </c>
      <c r="H23" s="139">
        <v>52.038039999999995</v>
      </c>
      <c r="J23" s="120"/>
    </row>
    <row r="24" spans="1:10" x14ac:dyDescent="0.3">
      <c r="A24" s="126" t="s">
        <v>142</v>
      </c>
      <c r="B24" s="126" t="s">
        <v>67</v>
      </c>
      <c r="C24" s="126" t="s">
        <v>86</v>
      </c>
      <c r="D24" s="126" t="s">
        <v>78</v>
      </c>
      <c r="E24" s="130" t="s">
        <v>143</v>
      </c>
      <c r="F24" s="136">
        <v>45576</v>
      </c>
      <c r="G24" s="132">
        <v>47.05</v>
      </c>
      <c r="H24" s="139">
        <v>43.656229508196716</v>
      </c>
      <c r="J24" s="120"/>
    </row>
    <row r="25" spans="1:10" x14ac:dyDescent="0.3">
      <c r="A25" s="137" t="s">
        <v>122</v>
      </c>
      <c r="B25" s="126" t="s">
        <v>67</v>
      </c>
      <c r="C25" s="126" t="s">
        <v>75</v>
      </c>
      <c r="D25" s="126" t="s">
        <v>69</v>
      </c>
      <c r="E25" s="130">
        <v>20244509946</v>
      </c>
      <c r="F25" s="136">
        <v>45573</v>
      </c>
      <c r="G25" s="132">
        <v>57.15</v>
      </c>
      <c r="H25" s="139">
        <v>64.693799999999996</v>
      </c>
      <c r="J25" s="120"/>
    </row>
    <row r="26" spans="1:10" x14ac:dyDescent="0.3">
      <c r="A26" s="126" t="s">
        <v>144</v>
      </c>
      <c r="B26" s="126" t="s">
        <v>67</v>
      </c>
      <c r="C26" s="126" t="s">
        <v>71</v>
      </c>
      <c r="D26" s="126" t="s">
        <v>69</v>
      </c>
      <c r="E26" s="130" t="s">
        <v>145</v>
      </c>
      <c r="F26" s="136">
        <v>45573</v>
      </c>
      <c r="G26" s="132">
        <v>59.4</v>
      </c>
      <c r="H26" s="139">
        <v>67.240799999999993</v>
      </c>
      <c r="J26" s="120"/>
    </row>
    <row r="27" spans="1:10" x14ac:dyDescent="0.3">
      <c r="A27" s="126" t="s">
        <v>146</v>
      </c>
      <c r="B27" s="126" t="s">
        <v>67</v>
      </c>
      <c r="C27" s="126" t="s">
        <v>88</v>
      </c>
      <c r="D27" s="126" t="s">
        <v>69</v>
      </c>
      <c r="E27" s="130" t="s">
        <v>147</v>
      </c>
      <c r="F27" s="136">
        <v>45574</v>
      </c>
      <c r="G27" s="132">
        <v>90.05</v>
      </c>
      <c r="H27" s="139">
        <v>101.9366</v>
      </c>
      <c r="J27" s="120"/>
    </row>
    <row r="28" spans="1:10" x14ac:dyDescent="0.3">
      <c r="A28" s="126" t="s">
        <v>148</v>
      </c>
      <c r="B28" s="126" t="s">
        <v>67</v>
      </c>
      <c r="C28" s="126" t="s">
        <v>80</v>
      </c>
      <c r="D28" s="126" t="s">
        <v>69</v>
      </c>
      <c r="E28" s="130">
        <v>49083748</v>
      </c>
      <c r="F28" s="136">
        <v>45573</v>
      </c>
      <c r="G28" s="132">
        <v>94.95</v>
      </c>
      <c r="H28" s="139">
        <v>107.4834</v>
      </c>
      <c r="J28" s="120"/>
    </row>
    <row r="29" spans="1:10" x14ac:dyDescent="0.3">
      <c r="A29" s="140" t="s">
        <v>149</v>
      </c>
      <c r="B29" s="140" t="s">
        <v>67</v>
      </c>
      <c r="C29" s="140" t="s">
        <v>93</v>
      </c>
      <c r="D29" s="140" t="s">
        <v>78</v>
      </c>
      <c r="E29" s="141" t="s">
        <v>150</v>
      </c>
      <c r="F29" s="135">
        <v>45590</v>
      </c>
      <c r="G29" s="138">
        <v>112.4</v>
      </c>
      <c r="H29" s="139">
        <v>104.29245901639345</v>
      </c>
      <c r="J29" s="120"/>
    </row>
    <row r="30" spans="1:10" x14ac:dyDescent="0.3">
      <c r="A30" s="140" t="s">
        <v>149</v>
      </c>
      <c r="B30" s="126" t="s">
        <v>67</v>
      </c>
      <c r="C30" s="126" t="s">
        <v>77</v>
      </c>
      <c r="D30" s="126" t="s">
        <v>78</v>
      </c>
      <c r="E30" s="130" t="s">
        <v>151</v>
      </c>
      <c r="F30" s="136">
        <v>45573</v>
      </c>
      <c r="G30" s="132">
        <v>147.94999999999999</v>
      </c>
      <c r="H30" s="139">
        <v>137.27819672131147</v>
      </c>
      <c r="J30" s="120"/>
    </row>
    <row r="31" spans="1:10" x14ac:dyDescent="0.3">
      <c r="A31" s="140" t="s">
        <v>185</v>
      </c>
      <c r="B31" s="126" t="s">
        <v>67</v>
      </c>
      <c r="C31" s="126" t="s">
        <v>169</v>
      </c>
      <c r="D31" s="126" t="s">
        <v>69</v>
      </c>
      <c r="E31" s="130" t="s">
        <v>184</v>
      </c>
      <c r="F31" s="136">
        <v>45762</v>
      </c>
      <c r="G31" s="132">
        <v>30.32</v>
      </c>
      <c r="H31" s="139">
        <v>35.122687999999997</v>
      </c>
      <c r="J31" s="120"/>
    </row>
    <row r="32" spans="1:10" x14ac:dyDescent="0.3">
      <c r="A32" s="140" t="s">
        <v>142</v>
      </c>
      <c r="B32" s="126" t="s">
        <v>67</v>
      </c>
      <c r="C32" s="126" t="s">
        <v>175</v>
      </c>
      <c r="D32" s="126" t="s">
        <v>78</v>
      </c>
      <c r="E32" s="130" t="s">
        <v>192</v>
      </c>
      <c r="F32" s="136">
        <v>45786</v>
      </c>
      <c r="G32" s="132">
        <v>11.05</v>
      </c>
      <c r="H32" s="139">
        <v>10.492800000000001</v>
      </c>
      <c r="J32" s="120"/>
    </row>
    <row r="33" spans="1:10" x14ac:dyDescent="0.3">
      <c r="A33" s="140" t="s">
        <v>195</v>
      </c>
      <c r="B33" s="126" t="s">
        <v>67</v>
      </c>
      <c r="C33" s="126" t="s">
        <v>176</v>
      </c>
      <c r="D33" s="126" t="s">
        <v>69</v>
      </c>
      <c r="E33" s="130" t="s">
        <v>196</v>
      </c>
      <c r="F33" s="136">
        <v>45786</v>
      </c>
      <c r="G33" s="132">
        <v>13.23</v>
      </c>
      <c r="H33" s="139">
        <v>15.325632000000001</v>
      </c>
      <c r="J33" s="120"/>
    </row>
    <row r="34" spans="1:10" x14ac:dyDescent="0.3">
      <c r="A34" s="140" t="s">
        <v>187</v>
      </c>
      <c r="B34" s="126" t="s">
        <v>67</v>
      </c>
      <c r="C34" s="126" t="s">
        <v>177</v>
      </c>
      <c r="D34" s="126" t="s">
        <v>78</v>
      </c>
      <c r="E34" s="130" t="s">
        <v>186</v>
      </c>
      <c r="F34" s="136">
        <v>45789</v>
      </c>
      <c r="G34" s="132">
        <v>17.54</v>
      </c>
      <c r="H34" s="139">
        <v>16.655200000000001</v>
      </c>
      <c r="J34" s="120"/>
    </row>
    <row r="35" spans="1:10" x14ac:dyDescent="0.3">
      <c r="A35" s="140" t="s">
        <v>142</v>
      </c>
      <c r="B35" s="126" t="s">
        <v>67</v>
      </c>
      <c r="C35" s="126" t="s">
        <v>173</v>
      </c>
      <c r="D35" s="126" t="s">
        <v>78</v>
      </c>
      <c r="E35" s="130" t="s">
        <v>190</v>
      </c>
      <c r="F35" s="136">
        <v>45787</v>
      </c>
      <c r="G35" s="132">
        <v>22.1</v>
      </c>
      <c r="H35" s="139">
        <v>20.98</v>
      </c>
      <c r="J35" s="120"/>
    </row>
    <row r="36" spans="1:10" x14ac:dyDescent="0.3">
      <c r="A36" s="140" t="s">
        <v>189</v>
      </c>
      <c r="B36" s="126" t="s">
        <v>67</v>
      </c>
      <c r="C36" s="126" t="s">
        <v>178</v>
      </c>
      <c r="D36" s="126" t="s">
        <v>78</v>
      </c>
      <c r="E36" s="130" t="s">
        <v>197</v>
      </c>
      <c r="F36" s="136">
        <v>45795</v>
      </c>
      <c r="G36" s="132">
        <v>24.95</v>
      </c>
      <c r="H36" s="139">
        <v>23.692799999999998</v>
      </c>
      <c r="J36" s="120"/>
    </row>
    <row r="37" spans="1:10" x14ac:dyDescent="0.3">
      <c r="A37" s="140" t="s">
        <v>189</v>
      </c>
      <c r="B37" s="126" t="s">
        <v>67</v>
      </c>
      <c r="C37" s="126" t="s">
        <v>178</v>
      </c>
      <c r="D37" s="126" t="s">
        <v>78</v>
      </c>
      <c r="E37" s="130" t="s">
        <v>188</v>
      </c>
      <c r="F37" s="136">
        <v>45797</v>
      </c>
      <c r="G37" s="132">
        <v>24.95</v>
      </c>
      <c r="H37" s="139">
        <v>23.692799999999998</v>
      </c>
      <c r="J37" s="120"/>
    </row>
    <row r="38" spans="1:10" x14ac:dyDescent="0.3">
      <c r="A38" s="140" t="s">
        <v>198</v>
      </c>
      <c r="B38" s="126" t="s">
        <v>67</v>
      </c>
      <c r="C38" s="126" t="s">
        <v>170</v>
      </c>
      <c r="D38" s="126" t="s">
        <v>69</v>
      </c>
      <c r="E38" s="130" t="s">
        <v>199</v>
      </c>
      <c r="F38" s="136">
        <v>45785</v>
      </c>
      <c r="G38" s="132">
        <v>37.450000000000003</v>
      </c>
      <c r="H38" s="139">
        <v>43.382080000000002</v>
      </c>
      <c r="J38" s="120"/>
    </row>
    <row r="39" spans="1:10" x14ac:dyDescent="0.3">
      <c r="A39" s="140" t="s">
        <v>194</v>
      </c>
      <c r="B39" s="126" t="s">
        <v>67</v>
      </c>
      <c r="C39" s="126" t="s">
        <v>172</v>
      </c>
      <c r="D39" s="126" t="s">
        <v>69</v>
      </c>
      <c r="E39" s="130" t="s">
        <v>193</v>
      </c>
      <c r="F39" s="136">
        <v>45785</v>
      </c>
      <c r="G39" s="132">
        <v>38.909999999999997</v>
      </c>
      <c r="H39" s="139">
        <v>45.073343999999999</v>
      </c>
      <c r="J39" s="120"/>
    </row>
    <row r="40" spans="1:10" x14ac:dyDescent="0.3">
      <c r="A40" s="140" t="s">
        <v>142</v>
      </c>
      <c r="B40" s="126" t="s">
        <v>67</v>
      </c>
      <c r="C40" s="126" t="s">
        <v>171</v>
      </c>
      <c r="D40" s="126" t="s">
        <v>78</v>
      </c>
      <c r="E40" s="130" t="s">
        <v>191</v>
      </c>
      <c r="F40" s="136">
        <v>45785</v>
      </c>
      <c r="G40" s="132">
        <v>44.95</v>
      </c>
      <c r="H40" s="139">
        <v>42.684800000000003</v>
      </c>
      <c r="J40" s="120"/>
    </row>
    <row r="41" spans="1:10" x14ac:dyDescent="0.3">
      <c r="A41" s="140" t="s">
        <v>201</v>
      </c>
      <c r="B41" s="126" t="s">
        <v>67</v>
      </c>
      <c r="C41" s="126" t="s">
        <v>174</v>
      </c>
      <c r="D41" s="126" t="s">
        <v>69</v>
      </c>
      <c r="E41" s="130" t="s">
        <v>200</v>
      </c>
      <c r="F41" s="136">
        <v>45786</v>
      </c>
      <c r="G41" s="132">
        <v>154.97999999999999</v>
      </c>
      <c r="H41" s="139">
        <v>179.52883199999999</v>
      </c>
      <c r="J41" s="120"/>
    </row>
    <row r="43" spans="1:10" x14ac:dyDescent="0.3">
      <c r="G43" s="121">
        <f>+SUM(G2:G41)</f>
        <v>1616.2</v>
      </c>
      <c r="H43" s="129">
        <f>+SUM(H2:H41)</f>
        <v>1735.7775145792348</v>
      </c>
      <c r="I43" s="120"/>
    </row>
  </sheetData>
  <autoFilter ref="A1:H41">
    <sortState ref="A32:H41">
      <sortCondition ref="G1:G41"/>
    </sortState>
  </autoFilter>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AEEFDCF8FC3214D848E9C788629281E" ma:contentTypeVersion="19" ma:contentTypeDescription="Creare un nuovo documento." ma:contentTypeScope="" ma:versionID="0e57a63a2cd217dbf69f9ec7215a131a">
  <xsd:schema xmlns:xsd="http://www.w3.org/2001/XMLSchema" xmlns:xs="http://www.w3.org/2001/XMLSchema" xmlns:p="http://schemas.microsoft.com/office/2006/metadata/properties" xmlns:ns2="a28c39e6-0c90-4ea3-a610-84d2bb8e1274" xmlns:ns3="3e20a801-be8f-4d55-9caf-c74144eb9b56" targetNamespace="http://schemas.microsoft.com/office/2006/metadata/properties" ma:root="true" ma:fieldsID="cb74d217bd4ab423f1f0dcedb30ee6a3" ns2:_="" ns3:_="">
    <xsd:import namespace="a28c39e6-0c90-4ea3-a610-84d2bb8e1274"/>
    <xsd:import namespace="3e20a801-be8f-4d55-9caf-c74144eb9b5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8c39e6-0c90-4ea3-a610-84d2bb8e12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Tag immagine" ma:readOnly="false" ma:fieldId="{5cf76f15-5ced-4ddc-b409-7134ff3c332f}" ma:taxonomyMulti="true" ma:sspId="ad6f6efa-7f20-41b6-a912-b69d361521c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e20a801-be8f-4d55-9caf-c74144eb9b56" elementFormDefault="qualified">
    <xsd:import namespace="http://schemas.microsoft.com/office/2006/documentManagement/types"/>
    <xsd:import namespace="http://schemas.microsoft.com/office/infopath/2007/PartnerControls"/>
    <xsd:element name="SharedWithUsers" ma:index="17"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Condiviso con dettagli" ma:internalName="SharedWithDetails" ma:readOnly="true">
      <xsd:simpleType>
        <xsd:restriction base="dms:Note">
          <xsd:maxLength value="255"/>
        </xsd:restriction>
      </xsd:simpleType>
    </xsd:element>
    <xsd:element name="TaxCatchAll" ma:index="23" nillable="true" ma:displayName="Taxonomy Catch All Column" ma:hidden="true" ma:list="{3881a0c8-337b-4d65-bcb6-1fa710347d62}" ma:internalName="TaxCatchAll" ma:showField="CatchAllData" ma:web="3e20a801-be8f-4d55-9caf-c74144eb9b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28c39e6-0c90-4ea3-a610-84d2bb8e1274">
      <Terms xmlns="http://schemas.microsoft.com/office/infopath/2007/PartnerControls"/>
    </lcf76f155ced4ddcb4097134ff3c332f>
    <TaxCatchAll xmlns="3e20a801-be8f-4d55-9caf-c74144eb9b56" xsi:nil="true"/>
  </documentManagement>
</p:properties>
</file>

<file path=customXml/itemProps1.xml><?xml version="1.0" encoding="utf-8"?>
<ds:datastoreItem xmlns:ds="http://schemas.openxmlformats.org/officeDocument/2006/customXml" ds:itemID="{9E9A251D-2912-4F0B-80A4-FF162542DF13}"/>
</file>

<file path=customXml/itemProps2.xml><?xml version="1.0" encoding="utf-8"?>
<ds:datastoreItem xmlns:ds="http://schemas.openxmlformats.org/officeDocument/2006/customXml" ds:itemID="{A9633EFA-D667-4D8F-962F-F52E0D32AEA0}"/>
</file>

<file path=customXml/itemProps3.xml><?xml version="1.0" encoding="utf-8"?>
<ds:datastoreItem xmlns:ds="http://schemas.openxmlformats.org/officeDocument/2006/customXml" ds:itemID="{85FD4F7F-FF68-42BB-AF43-9C0166163BE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COSTI</vt:lpstr>
      <vt:lpstr>Personale Coop. Crescita</vt:lpstr>
      <vt:lpstr>Personale dipendente G-LAB</vt:lpstr>
      <vt:lpstr>Dettaglio materiale acquistato</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Monica Tomea</dc:creator>
  <cp:lastModifiedBy>Anna Franzoni</cp:lastModifiedBy>
  <cp:lastPrinted>2025-09-30T07:29:36Z</cp:lastPrinted>
  <dcterms:created xsi:type="dcterms:W3CDTF">2016-09-18T10:44:09Z</dcterms:created>
  <dcterms:modified xsi:type="dcterms:W3CDTF">2025-09-30T07:45:04Z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0x010100FAEEFDCF8FC3214D848E9C788629281E</vt:lpwstr>
  </property>
</Properties>
</file>