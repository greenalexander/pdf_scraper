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calcChain.xml" ContentType="application/vnd.openxmlformats-officedocument.spreadsheetml.calcChain+xml"/>
  <Override PartName="/docProps/custom.xml" ContentType="application/vnd.openxmlformats-officedocument.custom-properties+xml"/>
  <Override PartName="/docProps/core.xml" ContentType="application/vnd.openxmlformats-package.core-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MG02\_Shared_Folders$\02_G-LAB\14_BANDI_E_APPALTI\PROGETTI_IN_CORSO\BANDO_ECCCO\RENDICONTAZIONE\Settembre 2025\"/>
    </mc:Choice>
  </mc:AlternateContent>
  <bookViews>
    <workbookView xWindow="0" yWindow="0" windowWidth="23040" windowHeight="7644"/>
  </bookViews>
  <sheets>
    <sheet name="Modulo di rendicontazione" sheetId="1" r:id="rId1"/>
    <sheet name="Liste" sheetId="2" r:id="rId2"/>
  </sheets>
  <calcPr calcId="152511"/>
  <extLst>
    <ext uri="GoogleSheetsCustomDataVersion2">
      <go:sheetsCustomData xmlns:go="http://customooxmlschemas.google.com/" r:id="rId6" roundtripDataChecksum="EfQ645qnVdLs8c59NH4ZiKXHLhPQsEyVYRtsK9VxetQ="/>
    </ext>
  </extLst>
</workbook>
</file>

<file path=xl/calcChain.xml><?xml version="1.0" encoding="utf-8"?>
<calcChain xmlns="http://schemas.openxmlformats.org/spreadsheetml/2006/main">
  <c r="D33" i="1" l="1"/>
  <c r="D32" i="1" l="1"/>
</calcChain>
</file>

<file path=xl/sharedStrings.xml><?xml version="1.0" encoding="utf-8"?>
<sst xmlns="http://schemas.openxmlformats.org/spreadsheetml/2006/main" count="141" uniqueCount="108">
  <si>
    <t>Scheda aggiuntiva di rendicontazione</t>
  </si>
  <si>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</si>
  <si>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</si>
  <si>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</si>
  <si>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</si>
  <si>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</si>
  <si>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t>Il quartiere Darsena è caratterizzato dalla presenza di molte famiglie con background migratorio e da un'alta concentrazione di edilizia residenziale pubblica. L'incidenza di studenti/esse, quindi, è elevata rendendo il problema dell'insuccesso formativo e della dispersione scolastica piuttosto rilevante. La situazione di disagio economico abbinata alle spesso ricorrenti condizioni di fragilità delle famiglie determinano l'urgenza di un intervento. Attraverso il potenziamento delle attività del Centro di aggregazione giovanile Quake e la proposta di percorsi educativi ad approccio STEAM nelle due scuole di riferimento si è risposto a queste problematiche in modo diversificato e complementare: si potenziata l'attività di supporto scolastico, si è creato uno spazio sicuro per il tempo libero, si sono strutturati percorsi scolastici altamente innovativi e coinvolgenti in grado di promuovere il benessere a scuola e di prevenire la dispersione scolastica.</t>
  </si>
  <si>
    <t xml:space="preserve">Quale dato/evidenza a supporto di questa risposta? Se presenti, indicatelo nella cella a dx. </t>
  </si>
  <si>
    <t xml:space="preserve">I dati a supporto sono stati principalmente qualitativi forniti dall'osservazione dei formatori, degli educatori e dei docenti coinvolti nelle attività del progetto. </t>
  </si>
  <si>
    <t>L'area territoriale di intervento diretto è la citta di Ravenna, con una particolare attenzione al quartiere Darsena.</t>
  </si>
  <si>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</si>
  <si>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</si>
  <si>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</si>
  <si>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t>Sì</t>
  </si>
  <si>
    <t>I docenti referenti nelle scuole hanno confermato che i progetti sono stati inseriti nei piani dell'offerta formativa</t>
  </si>
  <si>
    <t>No</t>
  </si>
  <si>
    <t xml:space="preserve">Se e come avete utilizzato le leve strategiche proposte nel bando all'interno del progetto? </t>
  </si>
  <si>
    <t>Nel progetto Tessere del sapere i luoghi educativi hanno avuto un ruolo fondamentale, non solo come spazi fisici di realizzazione delle attività, ma come veri e propri contesti capacitanti, capaci di favorire inclusione, partecipazione e connessione con il territorio. Gli istituti scolastici partner hanno rappresentato il punto di partenza, garantendo l’aggancio diretto con studenti e famiglie del quartiere Darsena e mettendo a disposizione ambienti didattici in cui sperimentare metodologie innovative ad approccio STEAM. Le scuole hanno permesso di integrare il lavoro ordinario con percorsi laboratoriali che hanno reso i ragazzi protagonisti della costruzione di manufatti artistici e digitali, rafforzando al contempo il legame con la comunità scolastica di appartenenza.
Accanto alle scuole, un ruolo centrale è stato svolto dal Centro Quake, spazio comunale di aggregazione giovanile attivo dal 1994, punto di riferimento per ragazzi e ragazze tra gli 11 e i 17 anni. La sua natura di luogo libero e accessibile, frequentato quotidianamente da decine di giovani, lo ha reso un presidio privilegiato per il progetto, soprattutto nella dimensione extrascolastica. Qui sono stati realizzati laboratori pomeridiani, attività di supporto scolastico e momenti di coinvolgimento anche per i genitori. La presenza stabile di educatori già attivi nel centro, opportunamente formati per seguire anche le attività più innovative, ha garantito continuità educativa e fiducia nei confronti dei ragazzi, facilitando la loro partecipazione. La ricchezza di spazi interni ed esterni del Quake (aule, palestra, cucina attrezzata, area verde, campo da basket) ha inoltre consentito di differenziare le attività, coniugando sostegno allo studio, creatività e socializzazione.
Infine, il Museo d’Arte della città di Ravenna (MAR) ha rappresentato un luogo simbolico e strategico. Ha ospitato l’evento conclusivo del progetto e ha reso possibile un dialogo tra giovani e patrimonio culturale, offrendo agli studenti l’opportunità di vedere le proprie opere collocate in un contesto prestigioso. La scelta di utilizzare il museo come spazio finale di restituzione ha avuto un forte valore capacitante: i ragazzi e le ragazze hanno potuto vivere l’esperienza di presentarsi come autori e guide del proprio lavoro davanti alla cittadinanza, rafforzando autostima e senso di appartenenza. Inoltre, il MAR ha contribuito a trasformare la percezione del museo stesso, da luogo elitario a spazio accessibile e partecipativo.
In sintesi, scuole, Centro Quake e Museo MAR hanno agito in modo complementare: le prime hanno garantito l’ancoraggio didattico e l’integrazione educativa, il secondo ha offerto uno spazio di prossimità per la sperimentazione e l’aggregazione, il terzo ha rappresentato la dimensione pubblica e culturale di restituzione alla comunità. Insieme, questi luoghi hanno reso possibile un percorso coerente e integrato, capace di contrastare la povertà educativa non solo attraverso attività mirate, ma anche attraverso l’attivazione di spazi che rafforzano legami sociali, culturali e identitari.</t>
  </si>
  <si>
    <t>A sostegno di quanto descritto, si possono portare dati ed evidenze quantitative e qualitative. Nei due istituti scolastici partner sono stati coinvolti complessivamente 50 studenti del biennio e della scuola secondaria di primo grado, impegnati in laboratori a cadenza mensile che hanno portato alla realizzazione di prodotti finali concreti — il videogioco RPG a tema mosaico e una scultura cinetica con kit Arduino. Sono stati inclusi inoltre 3 studenti certificati esterni ai gruppi classe, a dimostrazione dell’attenzione del progetto all’inclusione e alla valorizzazione di ogni singolo contributo. Presso il Centro Quake si sono svolte attività quotidiane di sostegno allo studio che hanno raggiunto 45 studenti, oltre a 4 workshop pomeridiani cui hanno partecipato circa 50 ragazzi e ragazze, frequentatori abituali del centro e studenti delle scuole partner. Infine, l’evento conclusivo del 24 maggio 2025 al MAR ha visto la partecipazione di circa 30 persone tra studenti, docenti, educatori e genitori, con i giovani stessi protagonisti della presentazione dei propri lavori. Questi dati, uniti ai feedback raccolti da questionari e osservazioni di docenti ed educatori, confermano il ruolo di scuole, Quake e MAR come luoghi capacitanti, capaci di favorire inclusione, partecipazione e legami tra comunità scolastica e territorio.</t>
  </si>
  <si>
    <t>All’interno del progetto Tessere del sapere l’arte e la cultura hanno rappresentato elementi cardine, funzionando come strumenti di apprendimento, espressione e inclusione, capaci di intrecciarsi con le dimensioni tecnologiche e di sostenibilità. L’arte è stata utilizzata come linguaggio universale attraverso cui i giovani hanno potuto dare forma a idee, emozioni e visioni del mondo. I laboratori creativi e le attività di produzione – dalla scultura cinetica al videogioco in stile RPG – hanno mostrato come l’espressione artistica, integrata con strumenti digitali innovativi, possa stimolare pensiero critico, capacità di risoluzione dei problemi e abilità comunicative. In questo senso, l’arte non è stata intesa come disciplina isolata, ma come approccio trasversale, capace di facilitare l’apprendimento e il dialogo interculturale, rafforzando il senso di identità personale e collettiva.
Parallelamente, la cultura ha svolto un ruolo chiave nel legare i giovani al patrimonio storico e artistico della città di Ravenna, in particolare al mosaico, inteso come simbolo di stratificazione, memoria e innovazione. Le attività hanno permesso agli studenti di riscoprire e reinterpretare il patrimonio culturale attraverso linguaggi contemporanei, collegando la tradizione artistica locale con le potenzialità offerte dal digitale. Il coinvolgimento del Museo d’Arte della città di Ravenna (MAR) ha amplificato questa dimensione: i ragazzi hanno visto riconosciuto il loro lavoro all’interno di uno spazio prestigioso, trasformato in un luogo inclusivo e partecipato, in cui i giovani non erano semplici visitatori, ma protagonisti attivi della produzione culturale. Questa esperienza ha rafforzato il senso di appartenenza al territorio e la percezione di poter contribuire in prima persona alla vita culturale della comunità.
Un aspetto rilevante è stato inoltre il riconoscimento del valore dell’educazione visiva in un’epoca segnata da immagini e contenuti multimediali. Offrendo strumenti per leggere, interpretare e produrre contenuti visivi in modo critico e consapevole, il progetto ha dotato i giovani di competenze fondamentali per muoversi nello scenario contemporaneo e per orientarsi anche verso future opportunità professionali legate alla comunicazione, al design e alle industrie culturali e creative.
Il progetto ha integrato a queste dimensioni anche il tema della sostenibilità, intesa in senso ampio. Da un lato, la sostenibilità sociale: le attività hanno favorito inclusione, pari opportunità e partecipazione attiva, riducendo barriere di accesso e valorizzando la diversità come risorsa. Dall’altro, la sostenibilità culturale: la scelta di valorizzare il mosaico contemporaneo ha contribuito a preservare e rilanciare una parte del patrimonio locale poco conosciuta, avvicinandola alle nuove generazioni e rendendola viva attraverso linguaggi innovativi. Infine, la sostenibilità educativa: attraverso metodologie di learning by doing e pratiche collaborative, il progetto ha promosso un modello di apprendimento duraturo, capace di generare competenze trasversali e capitale sociale anche oltre la durata delle singole attività.
In sintesi, l’arte e la cultura, intrecciate con l’innovazione tecnologica e con la prospettiva della sostenibilità, hanno reso Tessere del sapere un’esperienza educativa completa: un percorso che non si è limitato a trasmettere conoscenze, ma che ha formato cittadini consapevoli, creativi e responsabili, in grado di contribuire attivamente allo sviluppo della propria comunità.</t>
  </si>
  <si>
    <t>A sostegno di quanto descritto, è possibile richiamare alcuni dati concreti emersi nel corso delle attività. Nei laboratori scolastici sono stati coinvolti complessivamente 50 studenti appartenenti a due classi (IC Darsena e Istituto Callegari), che hanno realizzato prodotti finali di alto valore educativo e creativo: un videogioco RPG a tema mosaico e una scultura cinetica con Arduino. Il legame con il patrimonio culturale è stato rafforzato da una visita guidata ai mosaici contemporanei della città e da due workshop manuali sul mosaico presso il Centro Quake, condotti da RavennAntica, che hanno visto la partecipazione di circa 50 ragazze e ragazzi. L’evento conclusivo del 24 maggio 2025 al MAR ha ulteriormente valorizzato questa dimensione, permettendo agli studenti di presentare le proprie opere come veri autori, davanti a un pubblico di circa 30 partecipanti tra docenti, educatori e famiglie. Dal punto di vista della sostenibilità sociale ed educativa, le attività hanno incluso anche 3 studenti certificati con affiancamento educativo esterni ai gruppi classe, oltre a un ampio numero di ragazzi seguiti nelle attività quotidiane di sostegno allo studio al Quake (circa 45 studenti). L’accesso gratuito alle attività e il coinvolgimento diretto delle famiglie in momenti aggregativi (cineforum, Mandela Day) hanno ulteriormente garantito pari opportunità di partecipazione. Questi dati confermano come l’arte, la cultura e la sostenibilità siano state integrate in maniera concreta e trasversale, trasformando i luoghi educativi in contesti inclusivi e capacitanti, capaci di generare competenze, rafforzare legami con il territorio e promuovere un apprendimento duraturo.</t>
  </si>
  <si>
    <t>Nel progetto Tessere del sapere la comunità educante ha svolto un ruolo cruciale, diventando non solo cornice di riferimento, ma vera e propria risorsa attiva per la riuscita delle azioni. L’intervento ha infatti adottato una visione integrata dell’educazione, in cui la responsabilità di formare individui consapevoli, competenti e impegnati è stata condivisa tra scuola, famiglie, enti locali, realtà culturali e sociali del territorio. Questo approccio ha permesso di superare il modello scuolacentrico, trasformando la comunità in un ecosistema educativo capace di accompagnare i giovani in percorsi di apprendimento innovativi e inclusivi.
Gli attori della comunità educante hanno contribuito in modi differenti ma complementari. Le scuole partner hanno garantito il collegamento diretto con studenti e famiglie, integrando le attività progettuali con il lavoro didattico quotidiano. Il Comune di Ravenna ha supportato il progetto attraverso il centro Quake, luogo di aggregazione e presidio educativo fondamentale per il quartiere Darsena, e con la presenza attiva dell’Ufficio Politiche Giovanili. La cooperativa sociale Progetto Crescita ha messo a disposizione educatori formati, consolidando la continuità educativa tra contesto scolastico ed extrascolastico. Il MAR – Museo d’Arte della città – ha reso possibile la connessione tra i giovani e il patrimonio culturale, ospitando l’evento conclusivo e offrendo un palcoscenico prestigioso di restituzione alla cittadinanza. Infine, la partecipazione di un’impresa del territorio, SECAM, come cofinanziatore, ha rafforzato il legame con il tessuto economico locale, mostrando come anche il mondo produttivo possa contribuire alla promozione di opportunità educative.
Le strategie rivolte alla comunità educante si sono sviluppate lungo due direttrici principali. Da un lato, il progetto ha attivato momenti di coprogettazione e monitoraggio condiviso, in particolare attraverso incontri periodici con docenti, formatori ed educatori. Questi spazi di confronto hanno permesso di calibrare le attività sulle esigenze reali, rafforzando la corresponsabilità e la fiducia reciproca. Dall’altro lato, sono state promosse azioni di coinvolgimento e valorizzazione della comunità: il coinvolgimento delle famiglie, la possibilità per i giovani di presentare pubblicamente i propri prodotti creativi, la scelta di spazi simbolici e accessibili come il museo cittadino. Questi elementi hanno reso la comunità non semplice destinataria, ma co-protagonista del progetto.
Particolare attenzione è stata rivolta ai temi dell’inclusione e dell’equità. Coinvolgere la comunità educante ha significato garantire a tutti i giovani, specialmente quelli in condizioni di fragilità socioeconomica, linguistica o educativa, un accesso equo a esperienze culturali e formative di qualità. L’azione congiunta di scuole, famiglie e stakeholder ha contribuito a ridurre le disuguaglianze educative, mettendo a disposizione risorse, spazi e competenze che hanno ampliato il ventaglio delle opportunità.
In sintesi, la comunità educante è stata pilastro del progetto Tessere del sapere: un tessuto di legami e collaborazioni che ha reso possibile non solo la realizzazione delle attività, ma anche la creazione di un ambiente educativo più coeso, inclusivo e sostenibile. Il coinvolgimento attivo degli attori locali ha consolidato il senso di appartenenza e di responsabilità condivisa verso l’educazione, generando un capitale sociale che rappresenta un lascito duraturo oltre la durata del progetto stesso.</t>
  </si>
  <si>
    <t>A supporto di quanto descritto, si possono richiamare alcuni dati significativi: il progetto ha coinvolto 50 studenti in percorsi laboratoriali a cadenza mensile, supportati da 20 docenti ed educatori nei momenti di formazione e coprogettazione; il Centro Quake ha seguito quotidianamente 45 ragazzi nelle attività di sostegno allo studio e circa 50 studenti nei workshop pomeridiani; l’evento conclusivo del 24 maggio 2025 al MAR ha visto la partecipazione di circa 30 persone tra studenti, genitori, insegnanti ed educatori; inoltre, sono stati inclusi 3 studenti certificati con affiancamento educativo non appartenenti ai gruppi classe di partenza. Questi numeri confermano il ruolo attivo e integrato della comunità educante, che ha contribuito in modo concreto alla riuscita del progetto.</t>
  </si>
  <si>
    <t>Monitoraggio e valutazione</t>
  </si>
  <si>
    <t xml:space="preserve">All’interno del progetto Tessere del sapere è stato adottato un piano di monitoraggio e rendicontazione concepito come parte integrante del percorso stesso. La scelta di dare grande attenzione a questa dimensione è derivata dalla volontà di garantire la corretta gestione delle risorse e di disporre di strumenti adeguati per valutare l’impatto delle attività in termini educativi, sociali e comunitari. Il piano ha avuto dunque una duplice funzione: da una parte quella amministrativo-contabile, volta a documentare in maniera puntuale l’utilizzo dei fondi e la tracciabilità delle spese; dall’altra quella pedagogica e valutativa, finalizzata a misurare il grado di raggiungimento degli obiettivi e a supportare il miglioramento continuo delle azioni.
In coerenza con quanto dichiarato in fase di candidatura, il monitoraggio è stato costruito a partire da una chiara definizione degli obiettivi, declinati in tre grandi aree. La prima era di tipo educativo e comprendeva l’intento di migliorare il rendimento scolastico degli studenti, sviluppare competenze nell’ambito STEAM e accrescere motivazione e partecipazione ad attività extrascolastiche innovative. La seconda riguardava la dimensione sociale, con l’obiettivo di rafforzare il benessere emotivo e relazionale dei ragazzi, incrementare il coinvolgimento delle famiglie e stimolare il senso di comunità e appartenenza al quartiere Darsena. Infine, la terza area era di natura economico-gestionale e puntava a garantire il rispetto del budget approvato, la corretta imputazione delle spese e la piena tracciabilità delle risorse utilizzate.
Per rendere operativo questo piano, sono stati predisposti diversi strumenti di raccolta dei dati, in grado di restituire sia indicatori quantitativi sia elementi qualitativi. Sono stati somministrati due questionari a docenti ed educatori, con un totale di 7 compilazioni raccolte, distribuite tra metà percorso e conclusione, per monitorare i cambiamenti percepiti nel tempo. Sono state condotte 4 interviste qualitative a insegnanti ed educatori, integrate da chiamate periodiche di follow-up (tra settembre e dicembre 2024 la cadenza era quasi settimanale). Le osservazioni dirette effettuate durante i 10 incontri laboratoriali con ciascuna classe hanno permesso di cogliere il grado di partecipazione e motivazione degli studenti, nonché le dinamiche di gruppo. Parallelamente, il monitoraggio delle presenze ha documentato la partecipazione regolare della maggior parte degli studenti della scuola secondaria di primo e secondo grado.
L’analisi dei dati raccolti ha avuto un duplice obiettivo: evidenziare i risultati positivi e i progressi raggiunti, ma anche segnalare le aree in cui si rendevano necessari interventi correttivi. Ad esempio, le rilevazioni di metà percorso hanno mostrato un coinvolgimento meno costante nella classe superiore, soprattutto a causa di assenze frequenti; questo dato ha portato a introdurre attività più interattive e manipolative, come la scultura cinetica con Arduino, che hanno favorito una maggiore partecipazione. Anche le osservazioni degli educatori hanno segnalato un impatto positivo sulla motivazione di alcuni studenti con fragilità socio-educative, la cui partecipazione attiva ha rappresentato un segnale concreto di inclusione.
Sul piano amministrativo ed economico, la rendicontazione è stata curata da un referente di G-LAB, che ha garantito tracciabilità e correttezza delle spese. In accordo con i partner scolastici si è resa necessaria una rimodulazione del budget: la voce relativa all’acquisto di strumentazioni tecnologiche, inizialmente prevista, è stata ridotta poiché le scuole coinvolte disponevano già di PC e attrezzature adeguate. Le risorse liberate, pari a circa 9.000 euro, sono state riallocate per finanziare ore aggiuntive di personale educativo, rendendo possibile sia una progettazione più personalizzata delle attività sia l’organizzazione di workshop extra presso il Centro Quake. L’uso di strumenti digitali di contabilità e il costante dialogo con il team hanno assicurato trasparenza e aggiornamenti puntuali, riducendo al minimo il rischio di discrepanze.
Uno degli aspetti distintivi del piano è stato il processo di revisione e adattamento continuo. I dati raccolti non sono stati considerati solo strumenti per la valutazione finale, ma come indicatori utili a orientare le strategie in corso d’opera. Quando è emerso un minore coinvolgimento da parte di alcune classi, ad esempio, si è optato per rendere le attività più interattive e coinvolgenti. 
Il coinvolgimento della comunità educante è stato parte integrante del piano di monitoraggio. Sono stati organizzati 6 incontri di allineamento tra docenti, educatori e formatori e 8 incontri con i referenti del Comune di Ravenna, che hanno rappresentato momenti preziosi per discutere i dati raccolti, condividere criticità e co-definire strategie di miglioramento. Questa dimensione partecipativa ha rafforzato il senso di corresponsabilità tra i partner, aumentando la fiducia reciproca e consolidando un metodo di lavoro condiviso.
In conclusione, il piano di monitoraggio e rendicontazione ha rappresentato uno strumento essenziale per garantire trasparenza amministrativa, coerenza con gli obiettivi e capacità di adattamento. L’integrazione di strumenti quantitativi e qualitativi, unita al coinvolgimento della comunità educante, ha permesso di accompagnare il progetto nel suo sviluppo e di consolidare un modello operativo che potrà essere utilizzato come riferimento anche in future progettualità.
</t>
  </si>
  <si>
    <t>No non è stato previsto e realizzato</t>
  </si>
  <si>
    <t>Persone beneficiarie coinvolte</t>
  </si>
  <si>
    <t xml:space="preserve">Quali </t>
  </si>
  <si>
    <t xml:space="preserve">Quanti </t>
  </si>
  <si>
    <t xml:space="preserve">Modalità di coinvolgimento </t>
  </si>
  <si>
    <t>50 studenti di classi II di sec I grado e biennio sec II grado delle scuole partner. 1 classe per ogni istituto coinvolto
3 ragazzi certificati con sostegno diretto alle attività laboratoriali 
45 studenti raggiunti nelle attività di aiuto compiti presso il centro Quake
50 studenti raggiunti da 4 workshop pomeridiani presso il centro Quake
15 studenti e studentesse per l’evento finale</t>
  </si>
  <si>
    <t xml:space="preserve">Semplice partecipazione alle attività
</t>
  </si>
  <si>
    <t>- 3 eventi dedicati al territorio e alle famiglie: ottobre 2024 proiezione del film "La fine è il mio inizio", maggio 2025 per la festa "Diritto al gioco", luglio 2025 per il Nelson Mandela day dove 6 genitori hanno partecipato al pomeriggio portando piatti tipici della loro cultura.
- Evento finale il 24 maggio 2025</t>
  </si>
  <si>
    <t>20 docenti/educatori per formazioni dirette e utilizzo school kit</t>
  </si>
  <si>
    <t>Co-progettazione delle attività e partecipazione</t>
  </si>
  <si>
    <t>6 operatori conivolti: 2 educatori referenti del Quake, 2 operatori del doposcuola, 2 operatori dei laboratori scolastici</t>
  </si>
  <si>
    <t>6 formatori esperti in didattica digitale, nuove tecnologie e arte musiva attraverso i collaboratoi di G-LAB e il MAR per coprogettazione e monitoraggio progetto</t>
  </si>
  <si>
    <t>Co-progettazione delle attività, partecipazione e ulteriore livello di coinvolgimento (specificare)</t>
  </si>
  <si>
    <t>Lavoratori/trici e volontari/e coinvolti/e</t>
  </si>
  <si>
    <t>No non erano previsti</t>
  </si>
  <si>
    <t>Cura e governance</t>
  </si>
  <si>
    <t xml:space="preserve">All’interno del progetto Tessere del sapere sono state realizzate numerose azioni di cura e coordinamento del partenariato, considerate parte integrante della riuscita complessiva delle attività. La gestione condivisa e il confronto costante tra i diversi attori coinvolti hanno rappresentato un elemento decisivo per garantire coerenza, tempestività nella risoluzione delle criticità e capacità di adattamento rispetto alle esigenze concrete emerse nel corso del percorso. Si è realizzato un processo vivo, caratterizzato da momenti di coprogettazione, revisione congiunta e costruzione di strategie comuni, che ha rafforzato la tenuta e la qualità del progetto.
Il coordinamento ha seguito un approccio multilivello, con una combinazione di incontri strutturati e scambi più informali, ma altrettanto rilevanti, che hanno assicurato continuità e dialogo tra i partner. Dal punto di vista istituzionale, si segnalano gli 8 incontri realizzati con i referenti del Comune di Ravenna, a cui hanno partecipato anche gli educatori del Centro Quake e, in alcuni incontri, anche i rappresentanti del MAR. Questi momenti hanno avuto la funzione di aggiornare periodicamente lo stato di avanzamento, condividere gli esiti delle attività scolastiche ed extrascolastiche e individuare le soluzioni più opportune per affrontare eventuali problematiche organizzative o logistiche. La presenza costante del Comune ha inoltre rafforzato il legame tra il progetto e le politiche territoriali, garantendo una piena integrazione delle azioni con i servizi e le opportunità già attive nella città.
Parallelamente, si sono tenuti 4 incontri di allineamento con i formatori esperti in didattica digitale e innovativa, figure centrali per la realizzazione dei laboratori STEAM nelle scuole. Questi momenti di coordinamento sono stati essenziali per calibrare i contenuti didattici, verificare la coerenza metodologica e adattare le attività al livello e alle caratteristiche delle classi coinvolte. Alle riunioni si sono aggiunte chiamate di follow-up periodiche, che hanno permesso di monitorare il lavoro tra un laboratorio e l’altro, mantenendo vivo il filo conduttore del percorso e garantendo la possibilità di introdurre modifiche operative in tempo reale.
Un ulteriore strumento di cura del partenariato è stato rappresentato dalle 4 interviste qualitative condotte con gli insegnanti, integrate da chiamate periodiche – nella fase iniziale del progetto con cadenza settimanale – finalizzate a raccogliere percezioni, valutazioni e suggerimenti. Questo ha consentito di dare spazio al punto di vista del corpo docente, valorizzandone le competenze e assicurando che la progettazione rimanesse in dialogo con il contesto scolastico di riferimento. Tali momenti hanno favorito un clima di fiducia e di corresponsabilità, trasformando gli insegnanti non in semplici destinatari delle attività, ma in partner attivi del processo educativo.
Sul piano del partenariato con il settore privato, sono state organizzate 2 chiamate di allineamento con il partner cofinanziatore SECAM, integrate da aggiornamenti periodici via mail sull’andamento del progetto. La presenza di un’impresa locale ha costituito un valore aggiunto sia in termini di sostegno finanziario, sia come segnale dell’interesse del mondo produttivo per il tema della povertà educativa e dell’innovazione didattica. Il dialogo costante ha permesso di garantire trasparenza e di consolidare un rapporto che potrà costituire la base per ulteriori collaborazioni in futuro.
Le azioni di coordinamento non hanno riguardato esclusivamente i partner formali del progetto, ma hanno avuto riflessi anche sulla rete allargata della comunità educante. Gli incontri con educatori del Quake, le attività per le famiglie e il coinvolgimento del MAR hanno infatti contribuito a tessere un sistema di relazioni che va oltre i confini stretti del partenariato, rafforzando i legami tra istituzioni scolastiche, servizi educativi, enti culturali e famiglie. Questo aspetto è stato particolarmente evidente nell’organizzazione dell’evento conclusivo, che ha richiesto una pianificazione congiunta tra scuola, museo, educatori e amministrazione comunale.
Il valore delle azioni di cura e coordinamento non risiede soltanto nei numeri, ma nei risultati che esse hanno prodotto. Grazie ai confronti periodici, è stato possibile:
- risolvere tempestivamente problematiche organizzative, come la necessità di rimodulare il calendario dei laboratori per adattarlo ai ritmi scolastici;
- introdurre attività laboratoriali più interattive e manipolative in risposta a minori livelli di coinvolgimento da parte di alcune classi;
- garantire un allineamento costante tra le diverse componenti del progetto (scuola, extrascuola, museo, partner privato), evitando dispersioni o sovrapposizioni;
- mantenere vivo il dialogo con le famiglie e la comunità, rafforzando il senso di appartenenza e la percezione del progetto come risorsa condivisa.
In sintesi, le azioni di cura e coordinamento del partenariato hanno rappresentato una componente fondamentale di Tessere del sapere, non solo per garantire il buon andamento operativo delle attività, ma anche per costruire un modello di collaborazione che ha rafforzato i legami tra i partner, valorizzato il contributo della comunità educante e posto le basi per una continuità futura. La combinazione di incontri formali e momenti informali di confronto, unita alla trasparenza nella comunicazione e alla corresponsabilità nelle decisioni, ha reso il progetto più solido, flessibile e capace di rispondere in maniera tempestiva e condivisa alle sfide educative e organizzative incontrate.
</t>
  </si>
  <si>
    <t>All’interno del progetto non sono stati implementati processi formali di governance oltre a quanto necessario per il buon coordinamento delle attività. Più che strutture rigide, si è fatto ricorso a riunioni periodiche di allineamento tra i partner (si veda la risposta precedente), che hanno svolto di fatto la funzione di comitato di gestione, consentendo di monitorare l’avanzamento del progetto, affrontare eventuali criticità e prendere decisioni operative condivise. Non sono stati istituiti gruppi di lavoro tematici formali, ma, in alcuni momenti, sono stati avviati confronti più ristretti tra docenti, educatori ed esperti per calibrare le attività su specifici bisogni (ad esempio nello sviluppo dei laboratori STEAM o nella preparazione dell’evento finale). In sintesi, la governance del progetto è stata snella e informale, basata su momenti di confronto regolare che hanno garantito coordinamento, condivisione e capacità di adattamento senza la creazione di ulteriori processi o strutture complesse.</t>
  </si>
  <si>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</si>
  <si>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</si>
  <si>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</si>
  <si>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</si>
  <si>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t>Nei laboratori di tecnologia delle classi, in particolare nella scuola superiore, i formatori hanno osservato la partecipazione attiva di studenti con problematiche sociali ed educative rilevanti, che solitamente non accedono ad esperienze di questo tipo. Questo dato, pur non formalizzato in numeri, è significativo perché dimostra la capacità del progetto di intercettare e coinvolgere ragazzi e ragazze altrimenti esclusi da percorsi culturali e innovativi. All’interno del percorso hanno trovato spazio anche alcuni studenti con certificazione e affiancamento educativo che non facevano parte del gruppo classe coinvolto. La loro partecipazione ha dato al progetto una dimensione più ampia e significativa, rafforzandone il carattere partecipativo e sottolineando l’attenzione al valore di ogni singolo contributo. A ciò si aggiungono i feedback positivi raccolti da educatori e docenti, che hanno evidenziato un miglioramento della motivazione, dell’autostima e della partecipazione scolastica. Infine, l’integrazione di linguaggi artistici e digitali ha reso le attività accessibili anche a studenti con difficoltà nello studio tradizionale, consentendo loro di sperimentare successo e inclusione.</t>
  </si>
  <si>
    <t>Durante l'evento finale del Progetto presso il MAR le/i ragazze/i sono stati al centro della scena: essi stessi hanno presentato i lavori realizzati, raccontando in prima persona il percorso che li ha portati dal laboratorio in classe all’opera finita. Questo passaggio, dal “fare” al “mostrare”, ha reso evidente come le/i partecipanti non siano stati semplici destinatari di attività, ma veri protagonisti capaci di condividere con altri il frutto del proprio impegno creativo e collettivo.</t>
  </si>
  <si>
    <t>Durante questo anno al doposcuola hanno partecipato 32 ragazzi studenti In più rispetto all'anno scorso Siamo riusciti a soddisfare comunque le richieste aumentando un po' il personale impegnato. Di particolare rilievo è il fatto che è aumentata la richiesta da parte di ragazze e ragazzi delle scuole superiori</t>
  </si>
  <si>
    <t>In seguito al progetto il Comune di Ravenna ha contattato G-LAB srl per altri progetti da realizzare sul territorio. SECAM srl ha finanziato altre iniziative sul territorio collaborando con G-LAB srl</t>
  </si>
  <si>
    <t>Sostenibilità futura del progetto</t>
  </si>
  <si>
    <t>Per dare continuità alle azioni avviate con Tessere del sapere prevediamo di ricandidare un nuovo progetto nell’ambito della seconda edizione del bando ECCCO, mantenendo una linea di intervento simile per consolidare i risultati raggiunti. Parallelamente stiamo rafforzando le collaborazioni con il Comune di Ravenna e con altri soggetti del territorio, così da integrare parte delle attività sperimentate all’interno di progettualità territoriali più ampie e durature. In questo modo, le metodologie introdotte — in particolare i laboratori a carattere STEAM e le pratiche di collaborazione scuola–famiglia–comunità — potranno essere ulteriormente sviluppate e adattate ai bisogni emergenti. L’obiettivo è garantire che le esperienze realizzate non restino episodi isolati, ma diventino patrimonio stabile delle scuole e della rete locale, generando benefici continui per studenti, docenti ed educatori.</t>
  </si>
  <si>
    <t>Dopo la conclusione del progetto non sono previste strutture formali di governance, ma la rete costruita rimarrà attiva grazie al coinvolgimento del Comune di Ravenna e degli altri partner territoriali. Le relazioni e le modalità di collaborazione sperimentate in Tessere del sapere continueranno a tradursi in riunioni periodiche di coordinamento e in forme di coprogettazione su nuovi bandi e iniziative locali. La presenza del Comune come partner strategico garantisce visibilità e legittimità al percorso, oltre a favorire l’accesso a spazi pubblici e a nuove opportunità di finanziamento. In prospettiva, questa rete potrà evolvere in un tavolo di lavoro stabile, capace di coordinare progetti educativi e culturali condivisi, mantenendo vivo lo spirito di innovazione e cooperazione che ha caratterizzato l’esperienza.</t>
  </si>
  <si>
    <t>Categorie di attività</t>
  </si>
  <si>
    <t xml:space="preserve">Valutazione e monitoraggio </t>
  </si>
  <si>
    <t xml:space="preserve">Coinvolgimento </t>
  </si>
  <si>
    <t xml:space="preserve">Cambiamenti </t>
  </si>
  <si>
    <t xml:space="preserve">Riduzione del gap educativo per minori in condizioni di vulnerabilità e fragilità socio-educative ed economiche </t>
  </si>
  <si>
    <t xml:space="preserve">Integrazione nei Piani dell’Offerta Formativa degli Istituti scolastici </t>
  </si>
  <si>
    <t>Acquisizione e miglioramento delle competenze per la vita (life skills) e delle competenze chiave per l’apprendimento permanente</t>
  </si>
  <si>
    <t xml:space="preserve">Iniziative extra-scolastiche su tematiche cruciali e rilevanti per le giovani generazioni </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</si>
  <si>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</si>
  <si>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</si>
  <si>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</si>
  <si>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</si>
  <si>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</si>
  <si>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</si>
  <si>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</si>
  <si>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</si>
  <si>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r>
      <rPr>
        <sz val="10"/>
        <color rgb="FF000000"/>
        <rFont val="Arial"/>
        <family val="2"/>
      </rPr>
      <t xml:space="preserve">Vi chiediamo di compilare questa scheda, che richiede </t>
    </r>
    <r>
      <rPr>
        <b/>
        <sz val="10"/>
        <color rgb="FF000000"/>
        <rFont val="Arial"/>
        <family val="2"/>
      </rPr>
      <t>informazioni aggiuntive e complementari</t>
    </r>
    <r>
      <rPr>
        <sz val="10"/>
        <color rgb="FF000000"/>
        <rFont val="Arial"/>
        <family val="2"/>
      </rPr>
      <t xml:space="preserve"> rispetto a quelle inserite nel modulo di rendicontazione e negli altri allegati. Riguarda la realizzazione delle attività e i cambiamenti influenzati. 
Di seguito,</t>
    </r>
    <r>
      <rPr>
        <b/>
        <sz val="10"/>
        <color rgb="FFFF0000"/>
        <rFont val="Arial"/>
        <family val="2"/>
      </rPr>
      <t xml:space="preserve"> </t>
    </r>
    <r>
      <rPr>
        <sz val="10"/>
        <color rgb="FF000000"/>
        <rFont val="Arial"/>
        <family val="2"/>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rial"/>
        <family val="2"/>
      </rPr>
      <t>Questa compilazione è obbligatoria per la rendicontazione del contributo ricevuto</t>
    </r>
    <r>
      <rPr>
        <sz val="10"/>
        <color rgb="FF000000"/>
        <rFont val="Arial"/>
        <family val="2"/>
      </rPr>
      <t xml:space="preserve">. Inoltre, vuole essere uno </t>
    </r>
    <r>
      <rPr>
        <b/>
        <sz val="10"/>
        <color rgb="FF000000"/>
        <rFont val="Arial"/>
        <family val="2"/>
      </rPr>
      <t>strumento di stimolo e riflessione sul progetto realizzato e su eventuali sviluppi futuri di azione</t>
    </r>
    <r>
      <rPr>
        <sz val="10"/>
        <color rgb="FF000000"/>
        <rFont val="Arial"/>
        <family val="2"/>
      </rPr>
      <t>. 
La scheda si ispira alla scheda di dettaglio di progetto compilata in fase di richiesta del contributo, per permettere un confronto fra la situazione attesa iniziale e quella finale osservata.</t>
    </r>
  </si>
  <si>
    <r>
      <t>In che modo, partendo dall'analisi di contesto svolta inizialmente , ritenete che</t>
    </r>
    <r>
      <rPr>
        <b/>
        <sz val="10"/>
        <color rgb="FF000000"/>
        <rFont val="Arial"/>
        <family val="2"/>
      </rPr>
      <t xml:space="preserve"> il progetto abbia risposto in maniera coerente e rilevante al problema/bisogno individuato</t>
    </r>
    <r>
      <rPr>
        <sz val="10"/>
        <color rgb="FF000000"/>
        <rFont val="Arial"/>
        <family val="2"/>
      </rPr>
      <t>? (Max 1.000 caratteri)</t>
    </r>
  </si>
  <si>
    <r>
      <t>Specifica l'</t>
    </r>
    <r>
      <rPr>
        <b/>
        <sz val="10"/>
        <color rgb="FF000000"/>
        <rFont val="Arial"/>
        <family val="2"/>
      </rPr>
      <t>area territoriale di intervento</t>
    </r>
    <r>
      <rPr>
        <sz val="10"/>
        <color rgb="FF000000"/>
        <rFont val="Arial"/>
        <family val="2"/>
      </rPr>
      <t xml:space="preserve"> e segnalare particolari eventuali specificità osservate duranta la proposta progettuale rispetto al problema/bisogno individuato.</t>
    </r>
  </si>
  <si>
    <r>
      <t xml:space="preserve">Integrazione nei </t>
    </r>
    <r>
      <rPr>
        <b/>
        <sz val="10"/>
        <color theme="1"/>
        <rFont val="Arial"/>
        <family val="2"/>
      </rPr>
      <t>Piani dell’Offerta Formativa degli Istituti scolastici</t>
    </r>
    <r>
      <rPr>
        <sz val="10"/>
        <color theme="1"/>
        <rFont val="Arial"/>
        <family val="2"/>
      </rPr>
      <t xml:space="preserve"> </t>
    </r>
  </si>
  <si>
    <r>
      <t xml:space="preserve">Iniziative extra-scolastiche su </t>
    </r>
    <r>
      <rPr>
        <b/>
        <sz val="10"/>
        <color theme="1"/>
        <rFont val="Arial"/>
        <family val="2"/>
      </rPr>
      <t>tematiche cruciali e rilevanti</t>
    </r>
    <r>
      <rPr>
        <sz val="10"/>
        <color theme="1"/>
        <rFont val="Arial"/>
        <family val="2"/>
      </rPr>
      <t xml:space="preserve"> per le giovani generazioni </t>
    </r>
  </si>
  <si>
    <r>
      <t xml:space="preserve">Iniziative extra-scolastiche per </t>
    </r>
    <r>
      <rPr>
        <b/>
        <sz val="10"/>
        <color theme="1"/>
        <rFont val="Arial"/>
        <family val="2"/>
      </rPr>
      <t>apprendimento sul campo, di scoperta e relazione</t>
    </r>
    <r>
      <rPr>
        <sz val="10"/>
        <color theme="1"/>
        <rFont val="Arial"/>
        <family val="2"/>
      </rPr>
      <t xml:space="preserve"> con i contesti territoriali</t>
    </r>
  </si>
  <si>
    <r>
      <t xml:space="preserve">Iniziative extra-scolastiche per </t>
    </r>
    <r>
      <rPr>
        <b/>
        <sz val="10"/>
        <color theme="1"/>
        <rFont val="Arial"/>
        <family val="2"/>
      </rPr>
      <t xml:space="preserve">azioni di cittadinanza attiva e/o iniziative socio-culturali </t>
    </r>
  </si>
  <si>
    <r>
      <rPr>
        <b/>
        <sz val="10"/>
        <color theme="1"/>
        <rFont val="Arial"/>
        <family val="2"/>
      </rPr>
      <t>Percorsi di orientamento</t>
    </r>
    <r>
      <rPr>
        <sz val="10"/>
        <color theme="1"/>
        <rFont val="Arial"/>
        <family val="2"/>
      </rPr>
      <t>, sia interni che esterni al contesto scolastico in stretta continuità e collaborazione tra la scuola, il territorio e la famiglia</t>
    </r>
  </si>
  <si>
    <r>
      <t xml:space="preserve">Iniziative di </t>
    </r>
    <r>
      <rPr>
        <b/>
        <sz val="10"/>
        <color theme="1"/>
        <rFont val="Arial"/>
        <family val="2"/>
      </rPr>
      <t>coinvolgimento e formazione per docenti e personale</t>
    </r>
    <r>
      <rPr>
        <sz val="10"/>
        <color theme="1"/>
        <rFont val="Arial"/>
        <family val="2"/>
      </rPr>
      <t xml:space="preserve"> di altre agenzie educative </t>
    </r>
  </si>
  <si>
    <r>
      <t xml:space="preserve">Iniziative di incontro, </t>
    </r>
    <r>
      <rPr>
        <b/>
        <sz val="10"/>
        <color theme="1"/>
        <rFont val="Arial"/>
        <family val="2"/>
      </rPr>
      <t>confronto e riflessione condivisa con l’intera comunità educante</t>
    </r>
    <r>
      <rPr>
        <sz val="10"/>
        <color theme="1"/>
        <rFont val="Arial"/>
        <family val="2"/>
      </rPr>
      <t xml:space="preserve"> e co-costruzione di accordi e soggetti formalizzati </t>
    </r>
  </si>
  <si>
    <r>
      <t>Se presente, descrivere l'</t>
    </r>
    <r>
      <rPr>
        <b/>
        <sz val="10"/>
        <color rgb="FF000000"/>
        <rFont val="Arial"/>
        <family val="2"/>
      </rPr>
      <t>approccio capacitante</t>
    </r>
    <r>
      <rPr>
        <sz val="10"/>
        <color rgb="FF000000"/>
        <rFont val="Arial"/>
        <family val="2"/>
      </rPr>
      <t xml:space="preserve"> adottato nel progetto. </t>
    </r>
    <r>
      <rPr>
        <i/>
        <sz val="10"/>
        <color rgb="FF000000"/>
        <rFont val="Arial"/>
        <family val="2"/>
      </rPr>
      <t>(Max 500 parole)</t>
    </r>
  </si>
  <si>
    <r>
      <t xml:space="preserve">L’approccio capacitante adottato nel progetto </t>
    </r>
    <r>
      <rPr>
        <i/>
        <sz val="10"/>
        <color theme="1"/>
        <rFont val="Arial"/>
        <family val="2"/>
      </rPr>
      <t>Tessere del sapere</t>
    </r>
    <r>
      <rPr>
        <sz val="10"/>
        <color theme="1"/>
        <rFont val="Arial"/>
        <family val="2"/>
      </rPr>
      <t xml:space="preserve"> si è concretizzato nella creazione di opportunità che hanno permesso a studenti e studentesse del quartiere Darsena di Ravenna di sviluppare e mettere in gioco le proprie capacità, superando condizioni di fragilità socioeconomica, linguistica o educativa che spesso ne limitano le possibilità. Fin dall’inizio l’obiettivo non era soltanto fornire un supporto didattico, ma generare contesti di apprendimento inclusivi, motivanti e riconoscitivi, in cui ciascun giovane potesse esprimere il proprio potenziale. 
In questa prospettiva, le attività realizzate presso il centro Quake hanno rappresentato un laboratorio di sperimentazione educativa: l’aiuto compiti e il tutoraggio sono stati affiancati da metodologie di peer education e di didattica informale che hanno stimolato i ragazzi a partecipare attivamente, a valorizzare le proprie competenze e a sostenersi reciprocamente. La creazione di ambienti sicuri e stimolanti ha rafforzato autonomia, responsabilità e autostima, orientando i percorsi verso la “promozione dell’agio” e non soltanto verso la compensazione delle difficoltà. 
Le attività innovative sviluppate nelle scuole hanno ulteriormente espresso questa dimensione capacitante: la realizzazione di una scultura cinetica da parte degli studenti dell’Istituto Olivetti-Callegari e di un videogioco RPG da parte dell’IC Darsena ha consentito ai ragazzi di sperimentarsi come creatori e non come semplici fruitori, unendo competenze artistiche, digitali e narrative. Attraverso il learning by doing, il problem solving e la creatività, ciascun partecipante ha potuto contribuire con le proprie inclinazioni, riducendo le barriere che spesso accompagnano l’apprendimento tradizionale e trasformando la diversità dei talenti in risorsa collettiva. 
In parallelo, la costruzione di una rete educativa solida, composta da scuole, Centro Quake, Comune, Museo d’Arte e realtà sociali, ha garantito che il percorso non rimanesse circoscritto all’ambito scolastico, ma trovasse riconoscimento e legittimazione nella comunità. L’evento finale al MAR ha rappresentato il culmine di questo processo: esporre pubblicamente i prodotti realizzati e assumere il ruolo di guide per il pubblico ha rafforzato nei giovani il senso di appartenenza, di orgoglio e di fiducia nelle proprie capacità, alimentando la consapevolezza di poter avere un ruolo attivo nella vita culturale e sociale della città. 
L’</t>
    </r>
    <r>
      <rPr>
        <b/>
        <sz val="10"/>
        <color theme="1"/>
        <rFont val="Arial"/>
        <family val="2"/>
      </rPr>
      <t>approccio capacitante</t>
    </r>
    <r>
      <rPr>
        <sz val="10"/>
        <color theme="1"/>
        <rFont val="Arial"/>
        <family val="2"/>
      </rPr>
      <t xml:space="preserve"> si è quindi espresso su tre piani integrati: </t>
    </r>
    <r>
      <rPr>
        <b/>
        <sz val="10"/>
        <color theme="1"/>
        <rFont val="Arial"/>
        <family val="2"/>
      </rPr>
      <t>individuale</t>
    </r>
    <r>
      <rPr>
        <sz val="10"/>
        <color theme="1"/>
        <rFont val="Arial"/>
        <family val="2"/>
      </rPr>
      <t xml:space="preserve">, sostenendo l’autonomia e la fiducia in sé; </t>
    </r>
    <r>
      <rPr>
        <b/>
        <sz val="10"/>
        <color theme="1"/>
        <rFont val="Arial"/>
        <family val="2"/>
      </rPr>
      <t>relazionale</t>
    </r>
    <r>
      <rPr>
        <sz val="10"/>
        <color theme="1"/>
        <rFont val="Arial"/>
        <family val="2"/>
      </rPr>
      <t xml:space="preserve">, promuovendo collaborazione, inclusione e pari opportunità tra pari; </t>
    </r>
    <r>
      <rPr>
        <b/>
        <sz val="10"/>
        <color theme="1"/>
        <rFont val="Arial"/>
        <family val="2"/>
      </rPr>
      <t>comunitario</t>
    </r>
    <r>
      <rPr>
        <sz val="10"/>
        <color theme="1"/>
        <rFont val="Arial"/>
        <family val="2"/>
      </rPr>
      <t>, rafforzando il legame con il territorio e il riconoscimento da parte della cittadinanza. In questo modo, il progetto non si è limitato a contrastare la povertà educativa, ma ha contribuito ad ampliare concretamente le libertà e le possibilità di scelta dei giovani coinvolti, restituendo loro strumenti e motivazioni per essere protagonisti consapevoli del proprio presente e futuro.</t>
    </r>
  </si>
  <si>
    <r>
      <rPr>
        <b/>
        <sz val="10"/>
        <color theme="1"/>
        <rFont val="Arial"/>
        <family val="2"/>
      </rPr>
      <t>Riunioni periodiche con docenti ed educatori</t>
    </r>
    <r>
      <rPr>
        <sz val="10"/>
        <color theme="1"/>
        <rFont val="Arial"/>
        <family val="2"/>
      </rPr>
      <t xml:space="preserve">: momenti di coprogettazione e monitoraggio condiviso che hanno permesso di adattare le attività ai bisogni emersi e rafforzare la rete territoriale.
</t>
    </r>
    <r>
      <rPr>
        <b/>
        <sz val="10"/>
        <color theme="1"/>
        <rFont val="Arial"/>
        <family val="2"/>
      </rPr>
      <t>Questionari di feedback</t>
    </r>
    <r>
      <rPr>
        <sz val="10"/>
        <color theme="1"/>
        <rFont val="Arial"/>
        <family val="2"/>
      </rPr>
      <t>: due rilevazioni realizzate con docenti ed educatori per raccogliere valutazioni sia quantitative (soddisfazione, utilità percepita, partecipazione) sia qualitative (commenti, suggerimenti).</t>
    </r>
  </si>
  <si>
    <r>
      <t xml:space="preserve">Se presenti, descrivere il ruolo dei </t>
    </r>
    <r>
      <rPr>
        <b/>
        <sz val="10"/>
        <color rgb="FF000000"/>
        <rFont val="Arial"/>
        <family val="2"/>
      </rPr>
      <t>luoghi educativi</t>
    </r>
    <r>
      <rPr>
        <sz val="10"/>
        <color rgb="FF000000"/>
        <rFont val="Arial"/>
        <family val="2"/>
      </rPr>
      <t xml:space="preserve"> all'interno del progetto. </t>
    </r>
    <r>
      <rPr>
        <i/>
        <sz val="10"/>
        <color rgb="FF000000"/>
        <rFont val="Arial"/>
        <family val="2"/>
      </rPr>
      <t>(Max 500 parole)</t>
    </r>
  </si>
  <si>
    <r>
      <t>Se presente, descrivere l'integrazione/ruolo dell'</t>
    </r>
    <r>
      <rPr>
        <b/>
        <sz val="10"/>
        <color rgb="FF000000"/>
        <rFont val="Arial"/>
        <family val="2"/>
      </rPr>
      <t>arte e delle cultura</t>
    </r>
    <r>
      <rPr>
        <sz val="10"/>
        <color rgb="FF000000"/>
        <rFont val="Arial"/>
        <family val="2"/>
      </rPr>
      <t xml:space="preserve"> e del tema della</t>
    </r>
    <r>
      <rPr>
        <b/>
        <sz val="10"/>
        <color rgb="FF000000"/>
        <rFont val="Arial"/>
        <family val="2"/>
      </rPr>
      <t xml:space="preserve"> sostenibilità</t>
    </r>
    <r>
      <rPr>
        <sz val="10"/>
        <color rgb="FF000000"/>
        <rFont val="Arial"/>
        <family val="2"/>
      </rPr>
      <t xml:space="preserve"> all'interno del progetto. </t>
    </r>
    <r>
      <rPr>
        <i/>
        <sz val="10"/>
        <color rgb="FF000000"/>
        <rFont val="Arial"/>
        <family val="2"/>
      </rPr>
      <t>(Max 500 parole)</t>
    </r>
  </si>
  <si>
    <r>
      <t xml:space="preserve">Descrivere qual è stato il ruolo dela </t>
    </r>
    <r>
      <rPr>
        <b/>
        <sz val="10"/>
        <color rgb="FF000000"/>
        <rFont val="Arial"/>
        <family val="2"/>
      </rPr>
      <t>comunità educante</t>
    </r>
    <r>
      <rPr>
        <sz val="10"/>
        <color rgb="FF000000"/>
        <rFont val="Arial"/>
        <family val="2"/>
      </rPr>
      <t xml:space="preserve"> all'interno del progetto e quali le strategie e attenzioni a lei rivolte. </t>
    </r>
    <r>
      <rPr>
        <i/>
        <sz val="10"/>
        <color rgb="FF000000"/>
        <rFont val="Arial"/>
        <family val="2"/>
      </rPr>
      <t>(Max 500 parole)</t>
    </r>
  </si>
  <si>
    <r>
      <t xml:space="preserve">Avete adottato un </t>
    </r>
    <r>
      <rPr>
        <b/>
        <sz val="10"/>
        <color rgb="FF000000"/>
        <rFont val="Arial"/>
        <family val="2"/>
      </rPr>
      <t>piano per il monitoraggio e la rendicontazione</t>
    </r>
    <r>
      <rPr>
        <sz val="10"/>
        <color rgb="FF000000"/>
        <rFont val="Arial"/>
        <family val="2"/>
      </rPr>
      <t xml:space="preserve">? Se sì, come è organizzato? </t>
    </r>
    <r>
      <rPr>
        <i/>
        <sz val="10"/>
        <color rgb="FF000000"/>
        <rFont val="Arial"/>
        <family val="2"/>
      </rPr>
      <t>(Max 1.000 parole)</t>
    </r>
  </si>
  <si>
    <r>
      <t xml:space="preserve">Oltre al piano di monitoraggio e rendicontazione, avete adottato un </t>
    </r>
    <r>
      <rPr>
        <b/>
        <sz val="10"/>
        <color rgb="FF000000"/>
        <rFont val="Arial"/>
        <family val="2"/>
      </rPr>
      <t>piano per la valutazione di impatto sociale</t>
    </r>
    <r>
      <rPr>
        <sz val="10"/>
        <color rgb="FF000000"/>
        <rFont val="Arial"/>
        <family val="2"/>
      </rPr>
      <t>? Se sì, come è organizzato? (Max 1.000 parole)</t>
    </r>
  </si>
  <si>
    <r>
      <t xml:space="preserve">Avete impiegato una </t>
    </r>
    <r>
      <rPr>
        <b/>
        <sz val="10"/>
        <color theme="1"/>
        <rFont val="Arial"/>
        <family val="2"/>
      </rPr>
      <t>risorsa umana</t>
    </r>
    <r>
      <rPr>
        <sz val="10"/>
        <color theme="1"/>
        <rFont val="Arial"/>
        <family val="2"/>
      </rPr>
      <t xml:space="preserve"> dedicata al monitoraggio e alla rendicontazione? </t>
    </r>
  </si>
  <si>
    <r>
      <t xml:space="preserve">Avete impiegato una </t>
    </r>
    <r>
      <rPr>
        <b/>
        <sz val="10"/>
        <color theme="1"/>
        <rFont val="Arial"/>
        <family val="2"/>
      </rPr>
      <t>risorsa umana</t>
    </r>
    <r>
      <rPr>
        <sz val="10"/>
        <color theme="1"/>
        <rFont val="Arial"/>
        <family val="2"/>
      </rPr>
      <t xml:space="preserve"> dedicata alla valutazione di impatto? </t>
    </r>
  </si>
  <si>
    <r>
      <t xml:space="preserve">Quali e quanti </t>
    </r>
    <r>
      <rPr>
        <b/>
        <sz val="10"/>
        <color theme="1"/>
        <rFont val="Arial"/>
        <family val="2"/>
      </rPr>
      <t>minori</t>
    </r>
    <r>
      <rPr>
        <sz val="10"/>
        <color theme="1"/>
        <rFont val="Arial"/>
        <family val="2"/>
      </rPr>
      <t xml:space="preserve"> avete coinvolto nelle vostre attività? E come? </t>
    </r>
  </si>
  <si>
    <r>
      <t xml:space="preserve">Quali e quanti </t>
    </r>
    <r>
      <rPr>
        <b/>
        <sz val="10"/>
        <color rgb="FF000000"/>
        <rFont val="Arial"/>
        <family val="2"/>
      </rPr>
      <t>genitori</t>
    </r>
    <r>
      <rPr>
        <sz val="10"/>
        <color rgb="FF000000"/>
        <rFont val="Arial"/>
        <family val="2"/>
      </rPr>
      <t xml:space="preserve"> avete coinvolto nelle vostre attività? E come? </t>
    </r>
  </si>
  <si>
    <r>
      <t xml:space="preserve">Quali e quanti </t>
    </r>
    <r>
      <rPr>
        <b/>
        <sz val="10"/>
        <color theme="1"/>
        <rFont val="Arial"/>
        <family val="2"/>
      </rPr>
      <t>docenti</t>
    </r>
    <r>
      <rPr>
        <sz val="10"/>
        <color theme="1"/>
        <rFont val="Arial"/>
        <family val="2"/>
      </rPr>
      <t xml:space="preserve"> avete coinvolto nelle vostre attività? E come? </t>
    </r>
  </si>
  <si>
    <r>
      <t xml:space="preserve">Quali e quanti </t>
    </r>
    <r>
      <rPr>
        <b/>
        <sz val="10"/>
        <color theme="1"/>
        <rFont val="Arial"/>
        <family val="2"/>
      </rPr>
      <t>operatori/trici sociali</t>
    </r>
    <r>
      <rPr>
        <sz val="10"/>
        <color theme="1"/>
        <rFont val="Arial"/>
        <family val="2"/>
      </rPr>
      <t xml:space="preserve"> avete coinvolto nelle vostre attività? E come? </t>
    </r>
  </si>
  <si>
    <r>
      <t xml:space="preserve">Quali e quante </t>
    </r>
    <r>
      <rPr>
        <b/>
        <sz val="10"/>
        <color theme="1"/>
        <rFont val="Arial"/>
        <family val="2"/>
      </rPr>
      <t>altre figure educative</t>
    </r>
    <r>
      <rPr>
        <sz val="10"/>
        <color theme="1"/>
        <rFont val="Arial"/>
        <family val="2"/>
      </rPr>
      <t xml:space="preserve"> avete coinvolto nelle vostre attività? E come? </t>
    </r>
  </si>
  <si>
    <r>
      <t>Considerando le organizzazioni del partenariato, descrivete le</t>
    </r>
    <r>
      <rPr>
        <b/>
        <sz val="10"/>
        <color rgb="FF000000"/>
        <rFont val="Arial"/>
        <family val="2"/>
      </rPr>
      <t xml:space="preserve"> principali competenze e, se presenti, figure/professionalità specifiche </t>
    </r>
    <r>
      <rPr>
        <sz val="10"/>
        <color rgb="FF000000"/>
        <rFont val="Arial"/>
        <family val="2"/>
      </rPr>
      <t xml:space="preserve">che sono state impiegate nel progetto e che sono state rilevanti per la realizzazione dell'attività. Evidenzare bene perchè sono state fondamentali per il raggiungimento degli obiettivi desiderati. </t>
    </r>
    <r>
      <rPr>
        <i/>
        <sz val="10"/>
        <color rgb="FF000000"/>
        <rFont val="Arial"/>
        <family val="2"/>
      </rPr>
      <t>(Max 1.000 parole)</t>
    </r>
  </si>
  <si>
    <r>
      <t xml:space="preserve">All’interno del progetto Tessere del sapere, il partenariato ha rappresentato un elemento decisivo per la qualità e la riuscita delle attività. La forza del progetto non è stata solo nella varietà delle azioni proposte, ma nella capacità delle organizzazioni coinvolte di mettere a disposizione competenze specifiche e complementari, in grado di rispondere ai diversi obiettivi: contrasto alla povertà educativa, promozione delle competenze STEAM, valorizzazione del patrimonio culturale e rafforzamento della comunità educante.
</t>
    </r>
    <r>
      <rPr>
        <b/>
        <sz val="10"/>
        <color theme="1"/>
        <rFont val="Arial"/>
        <family val="2"/>
      </rPr>
      <t xml:space="preserve">Educatori scolastici e operatori del centro Quake
</t>
    </r>
    <r>
      <rPr>
        <sz val="10"/>
        <color theme="1"/>
        <rFont val="Arial"/>
        <family val="2"/>
      </rPr>
      <t xml:space="preserve">Gli educatori del centro di aggregazione giovanile Quake hanno avuto un ruolo chiave nel garantire continuità educativa ed inclusione, soprattutto per i ragazzi e le ragazze del quartiere Darsena che vivono situazioni di fragilità scolastica, linguistica o sociale. La loro competenza specifica è stata quella di saper creare un ambiente educativo dinamico e accogliente, capace di favorire la partecipazione attiva e la responsabilità personale. Attraverso metodologie di programmazione partecipata ed educazione tra pari, gli educatori hanno saputo stimolare protagonismo giovanile e relazioni di fiducia, fondamentali per contrastare l’abbandono scolastico e la demotivazione.
Un altro aspetto rilevante della loro professionalità è la capacità di accompagnare i giovani nella rielaborazione critica delle esperienze vissute: non solo sostegno allo studio, ma anche riflessione e interiorizzazione, che hanno reso i percorsi più significativi e duraturi. La loro flessibilità, unita alla capacità di dialogo con famiglie e scuole, ha permesso di garantire un ponte costante tra ambito scolastico, extrascolastico e comunitario. Senza il loro ruolo di mediatori e facilitatori, sarebbe stato difficile raggiungere studenti in condizioni di marginalità e favorire il loro reale coinvolgimento.
</t>
    </r>
    <r>
      <rPr>
        <b/>
        <sz val="10"/>
        <color theme="1"/>
        <rFont val="Arial"/>
        <family val="2"/>
      </rPr>
      <t xml:space="preserve">Operatori culturali e mediatori del patrimonio
</t>
    </r>
    <r>
      <rPr>
        <sz val="10"/>
        <color theme="1"/>
        <rFont val="Arial"/>
        <family val="2"/>
      </rPr>
      <t xml:space="preserve">Un contributo più circoscritto, ma comunque significativo, è stato quello degli operatori culturali legati al Museo d’Arte della città di Ravenna (MAR). La loro presenza si è concentrata in due momenti chiave: la visita guidata al patrimonio musivo contemporaneo e l’evento conclusivo di restituzione. Pur non essendo coinvolti nella quotidianità del progetto, hanno svolto un ruolo importante nell’aprire ai ragazzi e alle famiglie uno spazio culturale cittadino di grande valore, spesso percepito come distante. Durante la visita, gli operatori hanno fornito strumenti di lettura e contestualizzazione del mosaico contemporaneo, arricchendo la comprensione del percorso laboratoriale. In occasione dell’evento finale, hanno supportato la presentazione delle opere realizzate dagli studenti, contribuendo a trasformare il museo in un luogo inclusivo e partecipato. Anche se limitato temporalmente, questo apporto ha rafforzato la dimensione culturale del progetto e il legame con il territorio, restituendo ai ragazzi l’esperienza di sentirsi riconosciuti e valorizzati in un contesto prestigioso.
</t>
    </r>
    <r>
      <rPr>
        <b/>
        <sz val="10"/>
        <color theme="1"/>
        <rFont val="Arial"/>
        <family val="2"/>
      </rPr>
      <t>Esperti in didattica digitale e innovativa</t>
    </r>
    <r>
      <rPr>
        <sz val="10"/>
        <color theme="1"/>
        <rFont val="Arial"/>
        <family val="2"/>
      </rPr>
      <t xml:space="preserve">
Fondamentali per la riuscita delle attività sono stati anche gli esperti di didattica digitale e innovativa provenienti da G-LAB srl Impresa Sociale, realtà con una lunga esperienza nell’educazione STEAM. Questi professionisti hanno saputo integrare approcci tecnici e artistici, garantendo percorsi accessibili a tutti gli studenti, senza creare squilibri tra chi si sentiva più portato per la tecnologia e chi invece per la creatività.
La loro multidisciplinarità è stata un valore aggiunto: competenze in programmazione elettronica (Arduino, Raspberry, Python), design di videogiochi (2D e 3D art, game design, storytelling digitale), produzione di contenuti visivi e interattivi hanno reso possibili attività innovative come la creazione della scultura cinetica e del videogame RPG. Non si è trattato solo di fornire competenze tecniche, ma di guidare i ragazzi in un percorso di learning by doing, dove il problem solving, la collaborazione e la creatività sono stati stimolati in maniera naturale.
Questa professionalità è stata fondamentale per raggiungere due obiettivi strategici: da un lato, rafforzare le competenze digitali degli studenti, preparandoli a un mondo sempre più interconnesso; dall’altro, far percepire la tecnologia non come ambito elitario, ma come linguaggio accessibile e stimolante, capace di dialogare con l’arte e la cultura.
</t>
    </r>
    <r>
      <rPr>
        <b/>
        <sz val="10"/>
        <color theme="1"/>
        <rFont val="Arial"/>
        <family val="2"/>
      </rPr>
      <t>Partner istituzionali ed economici</t>
    </r>
    <r>
      <rPr>
        <sz val="10"/>
        <color theme="1"/>
        <rFont val="Arial"/>
        <family val="2"/>
      </rPr>
      <t xml:space="preserve">
Il partenariato si è arricchito della presenza del Comune di Ravenna, che ha garantito supporto istituzionale, logistico e il coordinamento con le politiche giovanili, e della cooperativa sociale Progetto Crescita, che ha fornito educatori con esperienza consolidata nell’inclusione scolastica e nell’animazione sociale. Entrambe queste realtà hanno contribuito a rafforzare la coerenza del progetto con il tessuto locale e a renderlo sostenibile oltre la sua durata.
Un ruolo diverso ma altrettanto significativo è stato quello dell’impresa SECAM srl, che ha partecipato come cofinanziatore. Pur non fornendo direttamente figure professionali, la sua presenza ha dato un segnale importante: il coinvolgimento del mondo produttivo nella lotta alla povertà educativa e nella valorizzazione dei giovani come risorsa per il territorio.
Il successo del progetto Tessere del sapere è dipeso dall’integrazione armonica di queste figure. Gli educatori scolastici hanno garantito prossimità, inclusione e continuità educativa. Gli operatori culturali hanno aperto ai ragazzi le porte del patrimonio artistico, trasformando il museo in luogo democratico e partecipativo. Gli esperti di didattica digitale hanno reso accessibili strumenti tecnologici complessi, stimolando creatività e competenze future. Gli enti istituzionali e sociali hanno assicurato legittimità e radicamento sul territorio.
Questa complementarità di professionalità ha permesso al progetto di non limitarsi a un intervento didattico o laboratoriale, ma di diventare un’esperienza trasformativa, capace di generare cambiamento negli studenti, nelle famiglie e nella comunità. Ogni attore ha contribuito in maniera indispensabile al raggiungimento degli obiettivi: senza gli educatori non si sarebbe raggiunta l’inclusione, senza gli esperti digitali non ci sarebbe stata innovazione, senza gli operatori culturali non si sarebbe realizzato il legame con il patrimonio, senza i partner istituzionali non si sarebbe costruita la rete territoriale.</t>
    </r>
  </si>
  <si>
    <r>
      <t xml:space="preserve">Avete coinvolto </t>
    </r>
    <r>
      <rPr>
        <b/>
        <sz val="10"/>
        <color rgb="FF000000"/>
        <rFont val="Arial"/>
        <family val="2"/>
      </rPr>
      <t>volontari/e</t>
    </r>
    <r>
      <rPr>
        <sz val="10"/>
        <color rgb="FF000000"/>
        <rFont val="Arial"/>
        <family val="2"/>
      </rPr>
      <t xml:space="preserve">? Se sì, descrivete il loro ruolo/coinvolgimento all'interno del progetto. </t>
    </r>
    <r>
      <rPr>
        <i/>
        <sz val="10"/>
        <color rgb="FF000000"/>
        <rFont val="Arial"/>
        <family val="2"/>
      </rPr>
      <t xml:space="preserve">(Max 500 parole) </t>
    </r>
  </si>
  <si>
    <r>
      <t xml:space="preserve">All'interno del progetto sono state realizzate </t>
    </r>
    <r>
      <rPr>
        <b/>
        <sz val="10"/>
        <color rgb="FF000000"/>
        <rFont val="Arial"/>
        <family val="2"/>
      </rPr>
      <t>azioni di cura e coordinamento del partenariato e/o della rete</t>
    </r>
    <r>
      <rPr>
        <sz val="10"/>
        <color rgb="FF000000"/>
        <rFont val="Arial"/>
        <family val="2"/>
      </rPr>
      <t xml:space="preserve"> (anche extra partenariato)? Se sì, quali? (Max 1.000 parole)</t>
    </r>
  </si>
  <si>
    <r>
      <t xml:space="preserve">All'interno del progetto sono stati implementati </t>
    </r>
    <r>
      <rPr>
        <b/>
        <sz val="10"/>
        <color rgb="FF000000"/>
        <rFont val="Arial"/>
        <family val="2"/>
      </rPr>
      <t>processi/meccanismi/strutture decisionali e/o di governance</t>
    </r>
    <r>
      <rPr>
        <sz val="10"/>
        <color rgb="FF000000"/>
        <rFont val="Arial"/>
        <family val="2"/>
      </rPr>
      <t>? Se sì, quali? (Max 1.000 parole)</t>
    </r>
  </si>
  <si>
    <r>
      <rPr>
        <b/>
        <sz val="10"/>
        <color theme="1"/>
        <rFont val="Arial"/>
        <family val="2"/>
      </rPr>
      <t>Riduzione del gap educativo</t>
    </r>
    <r>
      <rPr>
        <sz val="10"/>
        <color theme="1"/>
        <rFont val="Arial"/>
        <family val="2"/>
      </rPr>
      <t xml:space="preserve"> per minori in condizioni di vulnerabilità e fragilità socio-educative ed economiche </t>
    </r>
  </si>
  <si>
    <r>
      <rPr>
        <b/>
        <sz val="10"/>
        <color theme="1"/>
        <rFont val="Arial"/>
        <family val="2"/>
      </rPr>
      <t>Acquisizione e miglioramento delle competenze</t>
    </r>
    <r>
      <rPr>
        <sz val="10"/>
        <color theme="1"/>
        <rFont val="Arial"/>
        <family val="2"/>
      </rPr>
      <t xml:space="preserve"> per la vita (life skills) e delle competenze chiave per l’apprendimento permanente</t>
    </r>
  </si>
  <si>
    <t>Abbiamo sottoposto i formatori e i docenti coinvolti a due questionari sull'andamento del progetto da cui emerge che il team working e il problem solving sono stati molto sollecitati negli studenti destinatari delle attività. È stato osservato un miglioramento nell'esercizio di queste competenze. Anche nel corso delle costanti riunioni di allineamento con docenti ed educatori è emerso il miglioramento degli studenti nella mobilitazione di queste competenze.</t>
  </si>
  <si>
    <r>
      <t xml:space="preserve">Stimolare </t>
    </r>
    <r>
      <rPr>
        <b/>
        <sz val="10"/>
        <color theme="1"/>
        <rFont val="Arial"/>
        <family val="2"/>
      </rPr>
      <t>l’attivismo civico e il protagonismo giovanile</t>
    </r>
    <r>
      <rPr>
        <sz val="10"/>
        <color theme="1"/>
        <rFont val="Arial"/>
        <family val="2"/>
      </rPr>
      <t xml:space="preserve"> nel rispondere alle sfide e alle transizioni del nostro tempo</t>
    </r>
  </si>
  <si>
    <r>
      <t>Miglioramento dell’</t>
    </r>
    <r>
      <rPr>
        <b/>
        <sz val="10"/>
        <color theme="1"/>
        <rFont val="Arial"/>
        <family val="2"/>
      </rPr>
      <t>efficacia, dell’integrazione e della continuità dell’azione educativa</t>
    </r>
  </si>
  <si>
    <r>
      <rPr>
        <b/>
        <sz val="10"/>
        <color theme="1"/>
        <rFont val="Arial"/>
        <family val="2"/>
      </rPr>
      <t>Cura e sviluppo delle comunità educanti</t>
    </r>
    <r>
      <rPr>
        <sz val="10"/>
        <color theme="1"/>
        <rFont val="Arial"/>
        <family val="2"/>
      </rPr>
      <t xml:space="preserve"> attraverso un aumento del livello di cooperazione tra i soggetti (persone e organizzazioni) che la compongono</t>
    </r>
  </si>
  <si>
    <r>
      <t xml:space="preserve">Se e come avete previsto di </t>
    </r>
    <r>
      <rPr>
        <b/>
        <sz val="10"/>
        <color rgb="FF000000"/>
        <rFont val="Arial"/>
        <family val="2"/>
      </rPr>
      <t>portare avanti le attività o una loro parte dopo il termine del progetto</t>
    </r>
    <r>
      <rPr>
        <sz val="10"/>
        <color rgb="FF000000"/>
        <rFont val="Arial"/>
        <family val="2"/>
      </rPr>
      <t>? (Max 1.000 parole)</t>
    </r>
  </si>
  <si>
    <r>
      <t xml:space="preserve">Se e come avete previsto di organizzarvi rispetto a </t>
    </r>
    <r>
      <rPr>
        <b/>
        <sz val="10"/>
        <color rgb="FF000000"/>
        <rFont val="Arial"/>
        <family val="2"/>
      </rPr>
      <t>processi/meccanismi/strutture decisionali e/o di governance dopo il termine del progetto</t>
    </r>
    <r>
      <rPr>
        <sz val="10"/>
        <color rgb="FF000000"/>
        <rFont val="Arial"/>
        <family val="2"/>
      </rPr>
      <t>? (Max 1.000 parole)</t>
    </r>
  </si>
</sst>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0"/>
      <color rgb="FF000000"/>
      <name val="Calibri"/>
      <scheme val="minor"/>
    </font>
    <font>
      <sz val="10"/>
      <color theme="1"/>
      <name val="Agrandir"/>
      <family val="3"/>
    </font>
    <font>
      <b/>
      <sz val="10"/>
      <color theme="1"/>
      <name val="Agrandir"/>
      <family val="3"/>
    </font>
    <font>
      <sz val="10"/>
      <color theme="1"/>
      <name val="Arial"/>
      <family val="2"/>
    </font>
    <font>
      <b/>
      <sz val="48"/>
      <color theme="1"/>
      <name val="Arial"/>
      <family val="2"/>
    </font>
    <font>
      <sz val="10"/>
      <color rgb="FF000000"/>
      <name val="Arial"/>
      <family val="2"/>
    </font>
    <font>
      <b/>
      <sz val="10"/>
      <color rgb="FF000000"/>
      <name val="Arial"/>
      <family val="2"/>
    </font>
    <font>
      <b/>
      <sz val="10"/>
      <color rgb="FFFF0000"/>
      <name val="Arial"/>
      <family val="2"/>
    </font>
    <font>
      <sz val="10"/>
      <name val="Arial"/>
      <family val="2"/>
    </font>
    <font>
      <b/>
      <sz val="20"/>
      <color theme="0"/>
      <name val="Arial"/>
      <family val="2"/>
    </font>
    <font>
      <sz val="10"/>
      <color theme="0"/>
      <name val="Arial"/>
      <family val="2"/>
    </font>
    <font>
      <b/>
      <i/>
      <sz val="10"/>
      <color theme="0"/>
      <name val="Arial"/>
      <family val="2"/>
    </font>
    <font>
      <i/>
      <sz val="10"/>
      <color theme="1"/>
      <name val="Arial"/>
      <family val="2"/>
    </font>
    <font>
      <b/>
      <sz val="10"/>
      <color theme="0"/>
      <name val="Arial"/>
      <family val="2"/>
    </font>
    <font>
      <b/>
      <sz val="10"/>
      <color theme="1"/>
      <name val="Arial"/>
      <family val="2"/>
    </font>
    <font>
      <i/>
      <sz val="10"/>
      <color rgb="FF000000"/>
      <name val="Arial"/>
      <family val="2"/>
    </font>
    <font>
      <b/>
      <sz val="14"/>
      <color theme="1"/>
      <name val="Arial"/>
      <family val="2"/>
    </font>
  </fonts>
  <fills count="6">
    <fill>
      <patternFill patternType="none"/>
    </fill>
    <fill>
      <patternFill patternType="gray125"/>
    </fill>
    <fill>
      <patternFill patternType="solid">
        <fgColor theme="0"/>
        <bgColor theme="0"/>
      </patternFill>
    </fill>
    <fill>
      <patternFill patternType="solid">
        <fgColor rgb="FFE7D28E"/>
        <bgColor rgb="FFE7D28E"/>
      </patternFill>
    </fill>
    <fill>
      <patternFill patternType="solid">
        <fgColor rgb="FFAB9B69"/>
        <bgColor rgb="FFAB9B69"/>
      </patternFill>
    </fill>
    <fill>
      <patternFill patternType="solid">
        <fgColor rgb="FFBFAE75"/>
        <bgColor rgb="FFBFAE75"/>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E7E6E6"/>
      </bottom>
      <diagonal/>
    </border>
    <border>
      <left style="thin">
        <color rgb="FFE7E6E6"/>
      </left>
      <right style="thin">
        <color rgb="FFBFAE75"/>
      </right>
      <top/>
      <bottom/>
      <diagonal/>
    </border>
    <border>
      <left style="thin">
        <color rgb="FFBFAE75"/>
      </left>
      <right/>
      <top/>
      <bottom style="thin">
        <color rgb="FFBFAE75"/>
      </bottom>
      <diagonal/>
    </border>
    <border>
      <left style="thin">
        <color rgb="FFBFAE75"/>
      </left>
      <right/>
      <top/>
      <bottom style="thin">
        <color rgb="FFBFAE75"/>
      </bottom>
      <diagonal/>
    </border>
    <border>
      <left/>
      <right style="thin">
        <color rgb="FFBFAE75"/>
      </right>
      <top style="thin">
        <color rgb="FFE7E6E6"/>
      </top>
      <bottom style="thin">
        <color rgb="FFBFAE75"/>
      </bottom>
      <diagonal/>
    </border>
    <border>
      <left style="thin">
        <color rgb="FFBFAE75"/>
      </left>
      <right/>
      <top/>
      <bottom/>
      <diagonal/>
    </border>
    <border>
      <left/>
      <right style="thin">
        <color rgb="FFBFAE75"/>
      </right>
      <top/>
      <bottom/>
      <diagonal/>
    </border>
    <border>
      <left/>
      <right/>
      <top/>
      <bottom/>
      <diagonal/>
    </border>
    <border>
      <left style="thin">
        <color rgb="FFBFAE75"/>
      </left>
      <right/>
      <top/>
      <bottom/>
      <diagonal/>
    </border>
    <border>
      <left/>
      <right style="thin">
        <color rgb="FFBFAE75"/>
      </right>
      <top/>
      <bottom/>
      <diagonal/>
    </border>
    <border>
      <left style="thin">
        <color rgb="FFBFAE75"/>
      </left>
      <right/>
      <top/>
      <bottom style="thin">
        <color rgb="FFE7E6E6"/>
      </bottom>
      <diagonal/>
    </border>
    <border>
      <left/>
      <right style="thin">
        <color rgb="FFBFAE75"/>
      </right>
      <top/>
      <bottom style="thin">
        <color rgb="FFE7E6E6"/>
      </bottom>
      <diagonal/>
    </border>
    <border>
      <left style="thin">
        <color rgb="FFBFAE75"/>
      </left>
      <right/>
      <top/>
      <bottom style="thin">
        <color rgb="FFE7E6E6"/>
      </bottom>
      <diagonal/>
    </border>
    <border>
      <left/>
      <right style="thin">
        <color rgb="FFBFAE75"/>
      </right>
      <top style="thin">
        <color rgb="FFE7E6E6"/>
      </top>
      <bottom/>
      <diagonal/>
    </border>
    <border>
      <left style="thin">
        <color rgb="FFBFAE75"/>
      </left>
      <right style="thin">
        <color rgb="FFE7E6E6"/>
      </right>
      <top/>
      <bottom/>
      <diagonal/>
    </border>
    <border>
      <left style="thin">
        <color rgb="FFE7E6E6"/>
      </left>
      <right style="thin">
        <color rgb="FFBFAE75"/>
      </right>
      <top/>
      <bottom/>
      <diagonal/>
    </border>
    <border>
      <left/>
      <right style="thin">
        <color rgb="FFBFAE75"/>
      </right>
      <top/>
      <bottom style="thin">
        <color rgb="FFE7E6E6"/>
      </bottom>
      <diagonal/>
    </border>
    <border>
      <left style="thin">
        <color rgb="FFBFAE75"/>
      </left>
      <right/>
      <top style="thin">
        <color rgb="FFE7E6E6"/>
      </top>
      <bottom/>
      <diagonal/>
    </border>
    <border>
      <left/>
      <right style="thin">
        <color rgb="FFBFAE75"/>
      </right>
      <top/>
      <bottom style="thin">
        <color rgb="FFBFAE75"/>
      </bottom>
      <diagonal/>
    </border>
    <border>
      <left/>
      <right style="thin">
        <color rgb="FFBFAE75"/>
      </right>
      <top/>
      <bottom style="thin">
        <color rgb="FFBFAE75"/>
      </bottom>
      <diagonal/>
    </border>
    <border>
      <left style="thin">
        <color rgb="FFBFAE75"/>
      </left>
      <right/>
      <top/>
      <bottom style="thin">
        <color rgb="FFBFAE75"/>
      </bottom>
      <diagonal/>
    </border>
    <border>
      <left/>
      <right/>
      <top/>
      <bottom style="thin">
        <color rgb="FFBFAE75"/>
      </bottom>
      <diagonal/>
    </border>
    <border>
      <left/>
      <right style="thin">
        <color rgb="FFBFAE75"/>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E7E6E6"/>
      </right>
      <top style="thin">
        <color rgb="FFE7E6E6"/>
      </top>
      <bottom/>
      <diagonal/>
    </border>
    <border>
      <left style="thin">
        <color rgb="FFE7E6E6"/>
      </left>
      <right style="thin">
        <color rgb="FFBFAE75"/>
      </right>
      <top style="thin">
        <color rgb="FFE7E6E6"/>
      </top>
      <bottom/>
      <diagonal/>
    </border>
    <border>
      <left style="thin">
        <color rgb="FFE7E6E6"/>
      </left>
      <right style="thin">
        <color rgb="FFBFAE75"/>
      </right>
      <top style="thin">
        <color rgb="FFE7E6E6"/>
      </top>
      <bottom style="thin">
        <color rgb="FFE7E6E6"/>
      </bottom>
      <diagonal/>
    </border>
    <border>
      <left/>
      <right style="thin">
        <color rgb="FFBFAE75"/>
      </right>
      <top style="thin">
        <color rgb="FFE7E6E6"/>
      </top>
      <bottom style="thin">
        <color rgb="FFE7E6E6"/>
      </bottom>
      <diagonal/>
    </border>
    <border>
      <left style="thin">
        <color rgb="FFBFAE75"/>
      </left>
      <right/>
      <top style="thin">
        <color rgb="FFE7E6E6"/>
      </top>
      <bottom style="thin">
        <color rgb="FFE7E6E6"/>
      </bottom>
      <diagonal/>
    </border>
    <border>
      <left/>
      <right style="thin">
        <color rgb="FFBFAE75"/>
      </right>
      <top style="thin">
        <color rgb="FFE7E6E6"/>
      </top>
      <bottom style="thin">
        <color rgb="FFE7E6E6"/>
      </bottom>
      <diagonal/>
    </border>
    <border>
      <left style="thin">
        <color rgb="FFBFAE75"/>
      </left>
      <right style="thin">
        <color rgb="FFBFAE75"/>
      </right>
      <top/>
      <bottom/>
      <diagonal/>
    </border>
    <border>
      <left/>
      <right style="thin">
        <color rgb="FFBFAE75"/>
      </right>
      <top style="thin">
        <color rgb="FFE7E6E6"/>
      </top>
      <bottom/>
      <diagonal/>
    </border>
    <border>
      <left style="thin">
        <color rgb="FFBFAE75"/>
      </left>
      <right style="thin">
        <color rgb="FFBFAE75"/>
      </right>
      <top/>
      <bottom style="thin">
        <color rgb="FFBFAE75"/>
      </bottom>
      <diagonal/>
    </border>
    <border>
      <left style="thin">
        <color rgb="FFBFAE75"/>
      </left>
      <right style="thin">
        <color rgb="FFBFAE75"/>
      </right>
      <top style="thin">
        <color rgb="FFBFAE75"/>
      </top>
      <bottom style="thin">
        <color rgb="FFBFAE75"/>
      </bottom>
      <diagonal/>
    </border>
    <border>
      <left style="thin">
        <color rgb="FFBFAE75"/>
      </left>
      <right/>
      <top style="thin">
        <color rgb="FFE7E6E6"/>
      </top>
      <bottom style="thin">
        <color rgb="FFBFAE75"/>
      </bottom>
      <diagonal/>
    </border>
    <border>
      <left style="thin">
        <color rgb="FF000000"/>
      </left>
      <right/>
      <top/>
      <bottom/>
      <diagonal/>
    </border>
  </borders>
  <cellStyleXfs count="1">
    <xf numFmtId="0" fontId="0" fillId="0" borderId="0"/>
  </cellStyleXfs>
  <cellXfs count="107">
    <xf numFmtId="0" fontId="0" fillId="0" borderId="0" xfId="0" applyFont="1" applyAlignment="1"/>
    <xf numFmtId="0" fontId="1" fillId="2" borderId="1" xfId="0" applyFont="1" applyFill="1" applyBorder="1" applyAlignment="1">
      <alignment horizontal="left" vertical="center"/>
    </xf>
    <xf numFmtId="0" fontId="1" fillId="2" borderId="1" xfId="0" applyFont="1" applyFill="1" applyBorder="1"/>
    <xf numFmtId="0" fontId="2" fillId="2" borderId="1" xfId="0" applyFont="1" applyFill="1" applyBorder="1"/>
    <xf numFmtId="0" fontId="1" fillId="2" borderId="1" xfId="0" applyFont="1" applyFill="1" applyBorder="1" applyAlignment="1">
      <alignment wrapText="1"/>
    </xf>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3" fillId="2" borderId="1" xfId="0" applyFont="1" applyFill="1" applyBorder="1"/>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3" fillId="2" borderId="1" xfId="0" applyFont="1" applyFill="1" applyBorder="1" applyAlignment="1">
      <alignment wrapText="1"/>
    </xf>
    <xf numFmtId="0" fontId="5" fillId="0" borderId="12" xfId="0" applyFont="1" applyBorder="1" applyAlignment="1">
      <alignment vertical="center" wrapText="1"/>
    </xf>
    <xf numFmtId="0" fontId="3" fillId="0" borderId="13" xfId="0" applyFont="1" applyBorder="1" applyAlignment="1">
      <alignment vertical="center" wrapText="1"/>
    </xf>
    <xf numFmtId="0" fontId="12" fillId="2" borderId="14" xfId="0" applyFont="1" applyFill="1" applyBorder="1" applyAlignment="1">
      <alignment vertical="center" wrapText="1"/>
    </xf>
    <xf numFmtId="0" fontId="3" fillId="2" borderId="15" xfId="0" applyFont="1" applyFill="1" applyBorder="1" applyAlignment="1">
      <alignment vertical="center" wrapText="1"/>
    </xf>
    <xf numFmtId="0" fontId="5" fillId="0" borderId="16" xfId="0" applyFont="1" applyBorder="1" applyAlignment="1">
      <alignment vertical="center" wrapText="1"/>
    </xf>
    <xf numFmtId="0" fontId="12" fillId="2" borderId="17" xfId="0" applyFont="1" applyFill="1" applyBorder="1" applyAlignment="1">
      <alignment wrapText="1"/>
    </xf>
    <xf numFmtId="0" fontId="3" fillId="2" borderId="18" xfId="0" applyFont="1" applyFill="1" applyBorder="1" applyAlignment="1">
      <alignment horizontal="center" wrapText="1"/>
    </xf>
    <xf numFmtId="0" fontId="3" fillId="0" borderId="0" xfId="0" applyFont="1"/>
    <xf numFmtId="0" fontId="12" fillId="0" borderId="0" xfId="0" applyFont="1"/>
    <xf numFmtId="0" fontId="3" fillId="0" borderId="12" xfId="0" applyFont="1" applyBorder="1" applyAlignment="1">
      <alignment vertical="center" wrapText="1"/>
    </xf>
    <xf numFmtId="0" fontId="3" fillId="0" borderId="13" xfId="0" applyFont="1" applyBorder="1" applyAlignment="1">
      <alignment horizontal="center" vertical="center"/>
    </xf>
    <xf numFmtId="0" fontId="3" fillId="2" borderId="22" xfId="0" applyFont="1" applyFill="1" applyBorder="1" applyAlignment="1">
      <alignment vertical="center"/>
    </xf>
    <xf numFmtId="0" fontId="3" fillId="2" borderId="23" xfId="0" applyFont="1" applyFill="1" applyBorder="1" applyAlignment="1">
      <alignment vertical="center"/>
    </xf>
    <xf numFmtId="0" fontId="12" fillId="0" borderId="12" xfId="0" applyFont="1" applyBorder="1" applyAlignment="1">
      <alignment horizontal="left" vertical="center" wrapText="1"/>
    </xf>
    <xf numFmtId="0" fontId="3" fillId="0" borderId="13" xfId="0" applyFont="1" applyBorder="1" applyAlignment="1">
      <alignment horizontal="left" vertical="top" wrapText="1"/>
    </xf>
    <xf numFmtId="0" fontId="3" fillId="0" borderId="13" xfId="0" applyFont="1" applyBorder="1" applyAlignment="1">
      <alignment vertical="top" wrapText="1"/>
    </xf>
    <xf numFmtId="0" fontId="12" fillId="0" borderId="26" xfId="0" applyFont="1" applyBorder="1" applyAlignment="1">
      <alignment horizontal="left" vertical="center" wrapText="1"/>
    </xf>
    <xf numFmtId="0" fontId="13" fillId="2" borderId="22" xfId="0" applyFont="1" applyFill="1" applyBorder="1"/>
    <xf numFmtId="0" fontId="13" fillId="2" borderId="27" xfId="0" applyFont="1" applyFill="1" applyBorder="1"/>
    <xf numFmtId="0" fontId="3" fillId="0" borderId="13" xfId="0" applyFont="1" applyBorder="1" applyAlignment="1">
      <alignment wrapText="1"/>
    </xf>
    <xf numFmtId="0" fontId="3" fillId="2" borderId="22" xfId="0" applyFont="1" applyFill="1" applyBorder="1"/>
    <xf numFmtId="0" fontId="3" fillId="2" borderId="23" xfId="0" applyFont="1" applyFill="1" applyBorder="1"/>
    <xf numFmtId="0" fontId="3" fillId="0" borderId="13" xfId="0" applyFont="1" applyBorder="1" applyAlignment="1">
      <alignment vertical="center"/>
    </xf>
    <xf numFmtId="0" fontId="3" fillId="0" borderId="12" xfId="0" applyFont="1" applyBorder="1" applyAlignment="1">
      <alignment horizontal="left" vertical="center" wrapText="1"/>
    </xf>
    <xf numFmtId="0" fontId="3" fillId="0" borderId="12" xfId="0" applyFont="1" applyBorder="1" applyAlignment="1">
      <alignment wrapText="1"/>
    </xf>
    <xf numFmtId="0" fontId="13" fillId="5" borderId="22" xfId="0" applyFont="1" applyFill="1" applyBorder="1" applyAlignment="1">
      <alignment horizontal="center" wrapText="1"/>
    </xf>
    <xf numFmtId="0" fontId="13" fillId="5" borderId="23" xfId="0" applyFont="1" applyFill="1" applyBorder="1" applyAlignment="1">
      <alignment horizontal="center"/>
    </xf>
    <xf numFmtId="0" fontId="13" fillId="5" borderId="22" xfId="0" applyFont="1" applyFill="1" applyBorder="1" applyAlignment="1">
      <alignment horizontal="center"/>
    </xf>
    <xf numFmtId="0" fontId="12" fillId="0" borderId="12" xfId="0" applyFont="1" applyBorder="1" applyAlignment="1">
      <alignment horizontal="center" vertical="center"/>
    </xf>
    <xf numFmtId="0" fontId="3" fillId="0" borderId="28" xfId="0" applyFont="1" applyBorder="1" applyAlignment="1">
      <alignment vertical="center"/>
    </xf>
    <xf numFmtId="0" fontId="5" fillId="0" borderId="13" xfId="0" applyFont="1" applyBorder="1" applyAlignment="1">
      <alignment vertical="center"/>
    </xf>
    <xf numFmtId="0" fontId="15" fillId="0" borderId="12" xfId="0" applyFont="1" applyBorder="1" applyAlignment="1">
      <alignment horizontal="center" vertical="center"/>
    </xf>
    <xf numFmtId="0" fontId="3" fillId="0" borderId="29" xfId="0" applyFont="1" applyBorder="1" applyAlignment="1">
      <alignment vertical="center" wrapText="1"/>
    </xf>
    <xf numFmtId="0" fontId="3" fillId="0" borderId="30" xfId="0" applyFont="1" applyBorder="1" applyAlignment="1">
      <alignment vertical="center"/>
    </xf>
    <xf numFmtId="0" fontId="13" fillId="2" borderId="31" xfId="0" applyFont="1" applyFill="1" applyBorder="1"/>
    <xf numFmtId="0" fontId="5" fillId="2" borderId="22" xfId="0" applyFont="1" applyFill="1" applyBorder="1" applyAlignment="1">
      <alignment vertical="center" wrapText="1"/>
    </xf>
    <xf numFmtId="0" fontId="3" fillId="0" borderId="29" xfId="0" applyFont="1" applyBorder="1" applyAlignment="1">
      <alignment wrapText="1"/>
    </xf>
    <xf numFmtId="0" fontId="12" fillId="2" borderId="22" xfId="0" applyFont="1" applyFill="1" applyBorder="1" applyAlignment="1">
      <alignment horizontal="left" vertical="center" wrapText="1"/>
    </xf>
    <xf numFmtId="0" fontId="5" fillId="2" borderId="31" xfId="0" applyFont="1" applyFill="1" applyBorder="1" applyAlignment="1">
      <alignment wrapText="1"/>
    </xf>
    <xf numFmtId="0" fontId="3" fillId="0" borderId="29" xfId="0" applyFont="1" applyBorder="1" applyAlignment="1">
      <alignment vertical="center"/>
    </xf>
    <xf numFmtId="0" fontId="13" fillId="2" borderId="23" xfId="0" applyFont="1" applyFill="1" applyBorder="1"/>
    <xf numFmtId="0" fontId="3" fillId="0" borderId="32" xfId="0" applyFont="1" applyBorder="1" applyAlignment="1">
      <alignment vertical="top" wrapText="1"/>
    </xf>
    <xf numFmtId="0" fontId="3" fillId="2" borderId="33" xfId="0" applyFont="1" applyFill="1" applyBorder="1"/>
    <xf numFmtId="0" fontId="11" fillId="3" borderId="37" xfId="0" applyFont="1" applyFill="1" applyBorder="1" applyAlignment="1">
      <alignment horizontal="center" wrapText="1"/>
    </xf>
    <xf numFmtId="0" fontId="11" fillId="3" borderId="1" xfId="0" applyFont="1" applyFill="1" applyBorder="1" applyAlignment="1">
      <alignment horizontal="center" vertical="center"/>
    </xf>
    <xf numFmtId="0" fontId="3" fillId="0" borderId="38" xfId="0" applyFont="1" applyBorder="1" applyAlignment="1">
      <alignment vertical="center" wrapText="1"/>
    </xf>
    <xf numFmtId="0" fontId="6" fillId="0" borderId="0" xfId="0" applyFont="1" applyAlignment="1">
      <alignment horizontal="center" vertical="center"/>
    </xf>
    <xf numFmtId="0" fontId="12" fillId="0" borderId="39" xfId="0" applyFont="1" applyBorder="1" applyAlignment="1">
      <alignment vertical="center" wrapText="1"/>
    </xf>
    <xf numFmtId="0" fontId="5" fillId="2" borderId="40" xfId="0" applyFont="1" applyFill="1" applyBorder="1" applyAlignment="1">
      <alignment wrapText="1"/>
    </xf>
    <xf numFmtId="0" fontId="12" fillId="0" borderId="12" xfId="0" applyFont="1" applyBorder="1" applyAlignment="1">
      <alignment vertical="center" wrapText="1"/>
    </xf>
    <xf numFmtId="0" fontId="5" fillId="2" borderId="41" xfId="0" applyFont="1" applyFill="1" applyBorder="1" applyAlignment="1">
      <alignment vertical="center" wrapText="1"/>
    </xf>
    <xf numFmtId="0" fontId="5" fillId="2" borderId="40" xfId="0" applyFont="1" applyFill="1" applyBorder="1" applyAlignment="1">
      <alignment vertical="center" wrapText="1"/>
    </xf>
    <xf numFmtId="0" fontId="5" fillId="0" borderId="42" xfId="0" applyFont="1" applyBorder="1" applyAlignment="1">
      <alignment vertical="center" wrapText="1"/>
    </xf>
    <xf numFmtId="0" fontId="13" fillId="2" borderId="43" xfId="0" applyFont="1" applyFill="1" applyBorder="1"/>
    <xf numFmtId="0" fontId="13" fillId="2" borderId="44" xfId="0" applyFont="1" applyFill="1" applyBorder="1"/>
    <xf numFmtId="0" fontId="5" fillId="2" borderId="45" xfId="0" applyFont="1" applyFill="1" applyBorder="1" applyAlignment="1">
      <alignment vertical="center" wrapText="1"/>
    </xf>
    <xf numFmtId="0" fontId="5" fillId="0" borderId="0" xfId="0" applyFont="1" applyAlignment="1">
      <alignment vertical="center" wrapText="1"/>
    </xf>
    <xf numFmtId="0" fontId="12" fillId="0" borderId="12" xfId="0" applyFont="1" applyBorder="1" applyAlignment="1">
      <alignment wrapText="1"/>
    </xf>
    <xf numFmtId="0" fontId="13" fillId="0" borderId="46" xfId="0" applyFont="1" applyBorder="1"/>
    <xf numFmtId="0" fontId="5" fillId="2" borderId="47" xfId="0" applyFont="1" applyFill="1" applyBorder="1" applyAlignment="1">
      <alignment vertical="center" wrapText="1"/>
    </xf>
    <xf numFmtId="0" fontId="5" fillId="0" borderId="48" xfId="0" applyFont="1" applyBorder="1" applyAlignment="1">
      <alignment vertical="center" wrapText="1"/>
    </xf>
    <xf numFmtId="0" fontId="12" fillId="0" borderId="49" xfId="0" applyFont="1" applyBorder="1" applyAlignment="1">
      <alignment wrapText="1"/>
    </xf>
    <xf numFmtId="0" fontId="13" fillId="0" borderId="32" xfId="0" applyFont="1" applyBorder="1"/>
    <xf numFmtId="0" fontId="16" fillId="2" borderId="1" xfId="0" applyFont="1" applyFill="1" applyBorder="1"/>
    <xf numFmtId="0" fontId="5" fillId="2" borderId="1" xfId="0" applyFont="1" applyFill="1" applyBorder="1"/>
    <xf numFmtId="0" fontId="12" fillId="2" borderId="1" xfId="0" applyFont="1" applyFill="1" applyBorder="1"/>
    <xf numFmtId="0" fontId="3" fillId="2" borderId="21" xfId="0" applyFont="1" applyFill="1" applyBorder="1"/>
    <xf numFmtId="0" fontId="16" fillId="0" borderId="0" xfId="0" applyFont="1"/>
    <xf numFmtId="0" fontId="16" fillId="0" borderId="50" xfId="0" applyFont="1" applyBorder="1"/>
    <xf numFmtId="0" fontId="3" fillId="0" borderId="50" xfId="0" applyFont="1" applyBorder="1"/>
    <xf numFmtId="0" fontId="5" fillId="0" borderId="0" xfId="0" applyFont="1" applyAlignment="1"/>
    <xf numFmtId="0" fontId="10" fillId="4" borderId="34" xfId="0" applyFont="1" applyFill="1" applyBorder="1" applyAlignment="1">
      <alignment horizontal="center" vertical="center" wrapText="1"/>
    </xf>
    <xf numFmtId="0" fontId="8" fillId="0" borderId="35" xfId="0" applyFont="1" applyBorder="1"/>
    <xf numFmtId="0" fontId="8" fillId="0" borderId="36" xfId="0" applyFont="1" applyBorder="1"/>
    <xf numFmtId="0" fontId="11" fillId="3" borderId="10" xfId="0" applyFont="1" applyFill="1" applyBorder="1" applyAlignment="1">
      <alignment horizontal="center"/>
    </xf>
    <xf numFmtId="0" fontId="8" fillId="0" borderId="11" xfId="0" applyFont="1" applyBorder="1"/>
    <xf numFmtId="0" fontId="13" fillId="5" borderId="5" xfId="0" applyFont="1" applyFill="1" applyBorder="1" applyAlignment="1">
      <alignment horizontal="center" wrapText="1"/>
    </xf>
    <xf numFmtId="0" fontId="8" fillId="0" borderId="7" xfId="0" applyFont="1" applyBorder="1"/>
    <xf numFmtId="0" fontId="3" fillId="2" borderId="19" xfId="0" applyFont="1" applyFill="1" applyBorder="1" applyAlignment="1">
      <alignment vertical="center" wrapText="1"/>
    </xf>
    <xf numFmtId="0" fontId="8" fillId="0" borderId="20" xfId="0" applyFont="1" applyBorder="1"/>
    <xf numFmtId="0" fontId="13" fillId="5" borderId="19" xfId="0" applyFont="1" applyFill="1" applyBorder="1" applyAlignment="1">
      <alignment horizontal="center" wrapText="1"/>
    </xf>
    <xf numFmtId="0" fontId="13" fillId="2" borderId="24" xfId="0" applyFont="1" applyFill="1" applyBorder="1" applyAlignment="1">
      <alignment horizontal="center"/>
    </xf>
    <xf numFmtId="0" fontId="8" fillId="0" borderId="25" xfId="0" applyFont="1" applyBorder="1"/>
    <xf numFmtId="0" fontId="3" fillId="2" borderId="21" xfId="0" applyFont="1" applyFill="1" applyBorder="1" applyAlignment="1">
      <alignment vertical="center" wrapText="1"/>
    </xf>
    <xf numFmtId="0" fontId="9" fillId="4" borderId="5" xfId="0" applyFont="1" applyFill="1" applyBorder="1" applyAlignment="1">
      <alignment horizontal="center" vertical="center" wrapText="1"/>
    </xf>
    <xf numFmtId="0" fontId="8" fillId="0" borderId="6" xfId="0" applyFont="1" applyBorder="1"/>
    <xf numFmtId="0" fontId="10" fillId="4" borderId="5"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3" fillId="2" borderId="19" xfId="0" applyFont="1" applyFill="1" applyBorder="1" applyAlignment="1">
      <alignment horizontal="center"/>
    </xf>
    <xf numFmtId="0" fontId="4" fillId="0" borderId="0" xfId="0" applyFont="1" applyAlignment="1">
      <alignment horizontal="center" vertical="center"/>
    </xf>
    <xf numFmtId="0" fontId="5" fillId="0" borderId="0" xfId="0" applyFont="1" applyAlignment="1"/>
    <xf numFmtId="0" fontId="3" fillId="3" borderId="2" xfId="0" applyFont="1" applyFill="1" applyBorder="1" applyAlignment="1">
      <alignment horizontal="left" vertical="center" wrapText="1"/>
    </xf>
    <xf numFmtId="0" fontId="8" fillId="0" borderId="3" xfId="0" applyFont="1" applyBorder="1"/>
    <xf numFmtId="0" fontId="8" fillId="0" borderId="4"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topLeftCell="C31" workbookViewId="0">
      <selection activeCell="D33" sqref="D33"/>
    </sheetView>
  </sheetViews>
  <sheetFormatPr defaultColWidth="14.44140625" defaultRowHeight="15" customHeight="1" x14ac:dyDescent="0.3"/>
  <cols>
    <col min="1" max="1" width="8.88671875" style="83" customWidth="1"/>
    <col min="2" max="2" width="74.44140625" style="83" customWidth="1"/>
    <col min="3" max="3" width="110.5546875" style="83" customWidth="1"/>
    <col min="4" max="4" width="29.44140625" style="83" customWidth="1"/>
    <col min="5" max="5" width="77.44140625" style="83" customWidth="1"/>
    <col min="6" max="26" width="8.88671875" customWidth="1"/>
  </cols>
  <sheetData>
    <row r="1" spans="1:26" ht="82.5" customHeight="1" x14ac:dyDescent="0.3">
      <c r="A1" s="7"/>
      <c r="B1" s="102" t="s">
        <v>0</v>
      </c>
      <c r="C1" s="103"/>
      <c r="D1" s="103"/>
      <c r="E1" s="103"/>
      <c r="F1" s="1"/>
      <c r="G1" s="1"/>
      <c r="H1" s="1"/>
      <c r="I1" s="1"/>
      <c r="J1" s="1"/>
      <c r="K1" s="1"/>
      <c r="L1" s="1"/>
      <c r="M1" s="1"/>
      <c r="N1" s="1"/>
      <c r="O1" s="1"/>
      <c r="P1" s="1"/>
      <c r="Q1" s="1"/>
      <c r="R1" s="1"/>
      <c r="S1" s="1"/>
      <c r="T1" s="1"/>
      <c r="U1" s="1"/>
      <c r="V1" s="1"/>
      <c r="W1" s="1"/>
      <c r="X1" s="1"/>
      <c r="Y1" s="1"/>
      <c r="Z1" s="1"/>
    </row>
    <row r="2" spans="1:26" ht="122.25" customHeight="1" x14ac:dyDescent="0.3">
      <c r="A2" s="7"/>
      <c r="B2" s="104" t="s">
        <v>70</v>
      </c>
      <c r="C2" s="105"/>
      <c r="D2" s="105"/>
      <c r="E2" s="106"/>
      <c r="F2" s="1"/>
      <c r="G2" s="1"/>
      <c r="H2" s="1"/>
      <c r="I2" s="1"/>
      <c r="J2" s="1"/>
      <c r="K2" s="1"/>
      <c r="L2" s="1"/>
      <c r="M2" s="1"/>
      <c r="N2" s="1"/>
      <c r="O2" s="1"/>
      <c r="P2" s="1"/>
      <c r="Q2" s="1"/>
      <c r="R2" s="1"/>
      <c r="S2" s="1"/>
      <c r="T2" s="1"/>
      <c r="U2" s="1"/>
      <c r="V2" s="1"/>
      <c r="W2" s="1"/>
      <c r="X2" s="1"/>
      <c r="Y2" s="1"/>
      <c r="Z2" s="1"/>
    </row>
    <row r="3" spans="1:26" ht="21" customHeight="1" x14ac:dyDescent="0.3">
      <c r="A3" s="7"/>
      <c r="B3" s="8"/>
      <c r="C3" s="8"/>
      <c r="D3" s="8"/>
      <c r="E3" s="8"/>
      <c r="F3" s="1"/>
      <c r="G3" s="1"/>
      <c r="H3" s="1"/>
      <c r="I3" s="1"/>
      <c r="J3" s="1"/>
      <c r="K3" s="1"/>
      <c r="L3" s="1"/>
      <c r="M3" s="1"/>
      <c r="N3" s="1"/>
      <c r="O3" s="1"/>
      <c r="P3" s="1"/>
      <c r="Q3" s="1"/>
      <c r="R3" s="1"/>
      <c r="S3" s="1"/>
      <c r="T3" s="1"/>
      <c r="U3" s="1"/>
      <c r="V3" s="1"/>
      <c r="W3" s="1"/>
      <c r="X3" s="1"/>
      <c r="Y3" s="1"/>
      <c r="Z3" s="1"/>
    </row>
    <row r="4" spans="1:26" ht="63" customHeight="1" x14ac:dyDescent="0.3">
      <c r="A4" s="7"/>
      <c r="B4" s="97" t="s">
        <v>1</v>
      </c>
      <c r="C4" s="98"/>
      <c r="D4" s="98"/>
      <c r="E4" s="90"/>
      <c r="F4" s="1"/>
      <c r="G4" s="1"/>
      <c r="H4" s="1"/>
      <c r="I4" s="1"/>
      <c r="J4" s="1"/>
      <c r="K4" s="1"/>
      <c r="L4" s="1"/>
      <c r="M4" s="1"/>
      <c r="N4" s="1"/>
      <c r="O4" s="1"/>
      <c r="P4" s="1"/>
      <c r="Q4" s="1"/>
      <c r="R4" s="1"/>
      <c r="S4" s="1"/>
      <c r="T4" s="1"/>
      <c r="U4" s="1"/>
      <c r="V4" s="1"/>
      <c r="W4" s="1"/>
      <c r="X4" s="1"/>
      <c r="Y4" s="1"/>
      <c r="Z4" s="1"/>
    </row>
    <row r="5" spans="1:26" ht="48" customHeight="1" x14ac:dyDescent="0.3">
      <c r="A5" s="7"/>
      <c r="B5" s="99" t="s">
        <v>2</v>
      </c>
      <c r="C5" s="98"/>
      <c r="D5" s="98"/>
      <c r="E5" s="90"/>
      <c r="F5" s="1"/>
      <c r="G5" s="1"/>
      <c r="H5" s="1"/>
      <c r="I5" s="1"/>
      <c r="J5" s="1"/>
      <c r="K5" s="1"/>
      <c r="L5" s="1"/>
      <c r="M5" s="1"/>
      <c r="N5" s="1"/>
      <c r="O5" s="1"/>
      <c r="P5" s="1"/>
      <c r="Q5" s="1"/>
      <c r="R5" s="1"/>
      <c r="S5" s="1"/>
      <c r="T5" s="1"/>
      <c r="U5" s="1"/>
      <c r="V5" s="1"/>
      <c r="W5" s="1"/>
      <c r="X5" s="1"/>
      <c r="Y5" s="1"/>
      <c r="Z5" s="1"/>
    </row>
    <row r="6" spans="1:26" ht="35.25" customHeight="1" x14ac:dyDescent="0.35">
      <c r="A6" s="9"/>
      <c r="B6" s="10" t="s">
        <v>3</v>
      </c>
      <c r="C6" s="11" t="s">
        <v>4</v>
      </c>
      <c r="D6" s="100" t="s">
        <v>5</v>
      </c>
      <c r="E6" s="88"/>
      <c r="F6" s="3"/>
      <c r="G6" s="3"/>
      <c r="H6" s="3"/>
      <c r="I6" s="3"/>
      <c r="J6" s="3"/>
      <c r="K6" s="3"/>
      <c r="L6" s="3"/>
      <c r="M6" s="3"/>
      <c r="N6" s="3"/>
      <c r="O6" s="3"/>
      <c r="P6" s="3"/>
      <c r="Q6" s="3"/>
      <c r="R6" s="3"/>
      <c r="S6" s="3"/>
      <c r="T6" s="3"/>
      <c r="U6" s="2"/>
      <c r="V6" s="2"/>
      <c r="W6" s="2"/>
      <c r="X6" s="2"/>
      <c r="Y6" s="2"/>
      <c r="Z6" s="2"/>
    </row>
    <row r="7" spans="1:26" ht="158.25" customHeight="1" x14ac:dyDescent="0.35">
      <c r="A7" s="12"/>
      <c r="B7" s="13" t="s">
        <v>71</v>
      </c>
      <c r="C7" s="14" t="s">
        <v>6</v>
      </c>
      <c r="D7" s="15" t="s">
        <v>7</v>
      </c>
      <c r="E7" s="16" t="s">
        <v>8</v>
      </c>
      <c r="F7" s="4"/>
      <c r="G7" s="4"/>
      <c r="H7" s="4"/>
      <c r="I7" s="4"/>
      <c r="J7" s="4"/>
      <c r="K7" s="4"/>
      <c r="L7" s="4"/>
      <c r="M7" s="4"/>
      <c r="N7" s="4"/>
      <c r="O7" s="4"/>
      <c r="P7" s="4"/>
      <c r="Q7" s="4"/>
      <c r="R7" s="4"/>
      <c r="S7" s="4"/>
      <c r="T7" s="4"/>
      <c r="U7" s="4"/>
      <c r="V7" s="4"/>
      <c r="W7" s="4"/>
      <c r="X7" s="4"/>
      <c r="Y7" s="4"/>
      <c r="Z7" s="4"/>
    </row>
    <row r="8" spans="1:26" ht="45.75" customHeight="1" x14ac:dyDescent="0.35">
      <c r="A8" s="12"/>
      <c r="B8" s="17" t="s">
        <v>72</v>
      </c>
      <c r="C8" s="14" t="s">
        <v>9</v>
      </c>
      <c r="D8" s="18"/>
      <c r="E8" s="19"/>
      <c r="F8" s="4"/>
      <c r="G8" s="4"/>
      <c r="H8" s="4"/>
      <c r="I8" s="4"/>
      <c r="J8" s="4"/>
      <c r="K8" s="4"/>
      <c r="L8" s="4"/>
      <c r="M8" s="4"/>
      <c r="N8" s="4"/>
      <c r="O8" s="4"/>
      <c r="P8" s="4"/>
      <c r="Q8" s="4"/>
      <c r="R8" s="4"/>
      <c r="S8" s="4"/>
      <c r="T8" s="4"/>
      <c r="U8" s="4"/>
      <c r="V8" s="4"/>
      <c r="W8" s="4"/>
      <c r="X8" s="4"/>
      <c r="Y8" s="4"/>
      <c r="Z8" s="4"/>
    </row>
    <row r="9" spans="1:26" ht="13.5" customHeight="1" x14ac:dyDescent="0.35">
      <c r="A9" s="9"/>
      <c r="B9" s="20"/>
      <c r="C9" s="21"/>
      <c r="D9" s="20"/>
      <c r="E9" s="20"/>
      <c r="F9" s="2"/>
      <c r="G9" s="2"/>
      <c r="H9" s="2"/>
      <c r="I9" s="2"/>
      <c r="J9" s="2"/>
      <c r="K9" s="2"/>
      <c r="L9" s="2"/>
      <c r="M9" s="2"/>
      <c r="N9" s="2"/>
      <c r="O9" s="2"/>
      <c r="P9" s="2"/>
      <c r="Q9" s="2"/>
      <c r="R9" s="2"/>
      <c r="S9" s="2"/>
      <c r="T9" s="2"/>
      <c r="U9" s="2"/>
      <c r="V9" s="2"/>
      <c r="W9" s="2"/>
      <c r="X9" s="2"/>
      <c r="Y9" s="2"/>
      <c r="Z9" s="2"/>
    </row>
    <row r="10" spans="1:26" ht="70.5" customHeight="1" x14ac:dyDescent="0.35">
      <c r="A10" s="9"/>
      <c r="B10" s="97" t="s">
        <v>10</v>
      </c>
      <c r="C10" s="98"/>
      <c r="D10" s="98"/>
      <c r="E10" s="90"/>
      <c r="F10" s="2"/>
      <c r="G10" s="2"/>
      <c r="H10" s="2"/>
      <c r="I10" s="2"/>
      <c r="J10" s="2"/>
      <c r="K10" s="2"/>
      <c r="L10" s="2"/>
      <c r="M10" s="2"/>
      <c r="N10" s="2"/>
      <c r="O10" s="2"/>
      <c r="P10" s="2"/>
      <c r="Q10" s="2"/>
      <c r="R10" s="2"/>
      <c r="S10" s="2"/>
      <c r="T10" s="2"/>
      <c r="U10" s="2"/>
      <c r="V10" s="2"/>
      <c r="W10" s="2"/>
      <c r="X10" s="2"/>
      <c r="Y10" s="2"/>
      <c r="Z10" s="2"/>
    </row>
    <row r="11" spans="1:26" ht="45" customHeight="1" x14ac:dyDescent="0.35">
      <c r="A11" s="9"/>
      <c r="B11" s="99" t="s">
        <v>11</v>
      </c>
      <c r="C11" s="98"/>
      <c r="D11" s="98"/>
      <c r="E11" s="90"/>
      <c r="F11" s="2"/>
      <c r="G11" s="2"/>
      <c r="H11" s="2"/>
      <c r="I11" s="2"/>
      <c r="J11" s="2"/>
      <c r="K11" s="2"/>
      <c r="L11" s="2"/>
      <c r="M11" s="2"/>
      <c r="N11" s="2"/>
      <c r="O11" s="2"/>
      <c r="P11" s="2"/>
      <c r="Q11" s="2"/>
      <c r="R11" s="2"/>
      <c r="S11" s="2"/>
      <c r="T11" s="2"/>
      <c r="U11" s="2"/>
      <c r="V11" s="2"/>
      <c r="W11" s="2"/>
      <c r="X11" s="2"/>
      <c r="Y11" s="2"/>
      <c r="Z11" s="2"/>
    </row>
    <row r="12" spans="1:26" ht="33" customHeight="1" x14ac:dyDescent="0.35">
      <c r="A12" s="9"/>
      <c r="B12" s="10" t="s">
        <v>3</v>
      </c>
      <c r="C12" s="11" t="s">
        <v>4</v>
      </c>
      <c r="D12" s="100" t="s">
        <v>5</v>
      </c>
      <c r="E12" s="88"/>
      <c r="F12" s="2"/>
      <c r="G12" s="2"/>
      <c r="H12" s="2"/>
      <c r="I12" s="2"/>
      <c r="J12" s="2"/>
      <c r="K12" s="2"/>
      <c r="L12" s="2"/>
      <c r="M12" s="2"/>
      <c r="N12" s="2"/>
      <c r="O12" s="2"/>
      <c r="P12" s="2"/>
      <c r="Q12" s="2"/>
      <c r="R12" s="2"/>
      <c r="S12" s="2"/>
      <c r="T12" s="2"/>
      <c r="U12" s="2"/>
      <c r="V12" s="2"/>
      <c r="W12" s="2"/>
      <c r="X12" s="2"/>
      <c r="Y12" s="2"/>
      <c r="Z12" s="2"/>
    </row>
    <row r="13" spans="1:26" ht="30" customHeight="1" x14ac:dyDescent="0.35">
      <c r="A13" s="9"/>
      <c r="B13" s="93" t="s">
        <v>12</v>
      </c>
      <c r="C13" s="92"/>
      <c r="D13" s="101"/>
      <c r="E13" s="92"/>
      <c r="F13" s="2"/>
      <c r="G13" s="2"/>
      <c r="H13" s="2"/>
      <c r="I13" s="2"/>
      <c r="J13" s="2"/>
      <c r="K13" s="2"/>
      <c r="L13" s="2"/>
      <c r="M13" s="2"/>
      <c r="N13" s="2"/>
      <c r="O13" s="2"/>
      <c r="P13" s="2"/>
      <c r="Q13" s="2"/>
      <c r="R13" s="2"/>
      <c r="S13" s="2"/>
      <c r="T13" s="2"/>
      <c r="U13" s="2"/>
      <c r="V13" s="2"/>
      <c r="W13" s="2"/>
      <c r="X13" s="2"/>
      <c r="Y13" s="2"/>
      <c r="Z13" s="2"/>
    </row>
    <row r="14" spans="1:26" ht="33" customHeight="1" x14ac:dyDescent="0.35">
      <c r="A14" s="9"/>
      <c r="B14" s="22" t="s">
        <v>73</v>
      </c>
      <c r="C14" s="23" t="s">
        <v>13</v>
      </c>
      <c r="D14" s="96" t="s">
        <v>14</v>
      </c>
      <c r="E14" s="92"/>
      <c r="F14" s="2"/>
      <c r="G14" s="2"/>
      <c r="H14" s="2"/>
      <c r="I14" s="2"/>
      <c r="J14" s="2"/>
      <c r="K14" s="2"/>
      <c r="L14" s="2"/>
      <c r="M14" s="2"/>
      <c r="N14" s="2"/>
      <c r="O14" s="2"/>
      <c r="P14" s="2"/>
      <c r="Q14" s="2"/>
      <c r="R14" s="2"/>
      <c r="S14" s="2"/>
      <c r="T14" s="2"/>
      <c r="U14" s="2"/>
      <c r="V14" s="2"/>
      <c r="W14" s="2"/>
      <c r="X14" s="2"/>
      <c r="Y14" s="2"/>
      <c r="Z14" s="2"/>
    </row>
    <row r="15" spans="1:26" ht="34.5" customHeight="1" x14ac:dyDescent="0.35">
      <c r="A15" s="9"/>
      <c r="B15" s="22" t="s">
        <v>74</v>
      </c>
      <c r="C15" s="23" t="s">
        <v>13</v>
      </c>
      <c r="D15" s="91"/>
      <c r="E15" s="92"/>
      <c r="F15" s="2"/>
      <c r="G15" s="2"/>
      <c r="H15" s="2"/>
      <c r="I15" s="2"/>
      <c r="J15" s="2"/>
      <c r="K15" s="2"/>
      <c r="L15" s="2"/>
      <c r="M15" s="2"/>
      <c r="N15" s="2"/>
      <c r="O15" s="2"/>
      <c r="P15" s="2"/>
      <c r="Q15" s="2"/>
      <c r="R15" s="2"/>
      <c r="S15" s="2"/>
      <c r="T15" s="2"/>
      <c r="U15" s="2"/>
      <c r="V15" s="2"/>
      <c r="W15" s="2"/>
      <c r="X15" s="2"/>
      <c r="Y15" s="2"/>
      <c r="Z15" s="2"/>
    </row>
    <row r="16" spans="1:26" ht="30.75" customHeight="1" x14ac:dyDescent="0.35">
      <c r="A16" s="9"/>
      <c r="B16" s="22" t="s">
        <v>75</v>
      </c>
      <c r="C16" s="23" t="s">
        <v>13</v>
      </c>
      <c r="D16" s="91"/>
      <c r="E16" s="92"/>
      <c r="F16" s="2"/>
      <c r="G16" s="2"/>
      <c r="H16" s="2"/>
      <c r="I16" s="2"/>
      <c r="J16" s="2"/>
      <c r="K16" s="2"/>
      <c r="L16" s="2"/>
      <c r="M16" s="2"/>
      <c r="N16" s="2"/>
      <c r="O16" s="2"/>
      <c r="P16" s="2"/>
      <c r="Q16" s="2"/>
      <c r="R16" s="2"/>
      <c r="S16" s="2"/>
      <c r="T16" s="2"/>
      <c r="U16" s="2"/>
      <c r="V16" s="2"/>
      <c r="W16" s="2"/>
      <c r="X16" s="2"/>
      <c r="Y16" s="2"/>
      <c r="Z16" s="2"/>
    </row>
    <row r="17" spans="1:26" ht="35.25" customHeight="1" x14ac:dyDescent="0.35">
      <c r="A17" s="9"/>
      <c r="B17" s="22" t="s">
        <v>76</v>
      </c>
      <c r="C17" s="23" t="s">
        <v>13</v>
      </c>
      <c r="D17" s="91"/>
      <c r="E17" s="92"/>
      <c r="F17" s="2"/>
      <c r="G17" s="2"/>
      <c r="H17" s="2"/>
      <c r="I17" s="2"/>
      <c r="J17" s="2"/>
      <c r="K17" s="2"/>
      <c r="L17" s="2"/>
      <c r="M17" s="2"/>
      <c r="N17" s="2"/>
      <c r="O17" s="2"/>
      <c r="P17" s="2"/>
      <c r="Q17" s="2"/>
      <c r="R17" s="2"/>
      <c r="S17" s="2"/>
      <c r="T17" s="2"/>
      <c r="U17" s="2"/>
      <c r="V17" s="2"/>
      <c r="W17" s="2"/>
      <c r="X17" s="2"/>
      <c r="Y17" s="2"/>
      <c r="Z17" s="2"/>
    </row>
    <row r="18" spans="1:26" ht="29.25" customHeight="1" x14ac:dyDescent="0.35">
      <c r="A18" s="9"/>
      <c r="B18" s="22" t="s">
        <v>77</v>
      </c>
      <c r="C18" s="23" t="s">
        <v>15</v>
      </c>
      <c r="D18" s="24"/>
      <c r="E18" s="25"/>
      <c r="F18" s="2"/>
      <c r="G18" s="2"/>
      <c r="H18" s="2"/>
      <c r="I18" s="2"/>
      <c r="J18" s="2"/>
      <c r="K18" s="2"/>
      <c r="L18" s="2"/>
      <c r="M18" s="2"/>
      <c r="N18" s="2"/>
      <c r="O18" s="2"/>
      <c r="P18" s="2"/>
      <c r="Q18" s="2"/>
      <c r="R18" s="2"/>
      <c r="S18" s="2"/>
      <c r="T18" s="2"/>
      <c r="U18" s="2"/>
      <c r="V18" s="2"/>
      <c r="W18" s="2"/>
      <c r="X18" s="2"/>
      <c r="Y18" s="2"/>
      <c r="Z18" s="2"/>
    </row>
    <row r="19" spans="1:26" ht="13.5" customHeight="1" x14ac:dyDescent="0.35">
      <c r="A19" s="9"/>
      <c r="B19" s="22" t="s">
        <v>78</v>
      </c>
      <c r="C19" s="23" t="s">
        <v>13</v>
      </c>
      <c r="D19" s="91"/>
      <c r="E19" s="92"/>
      <c r="F19" s="2"/>
      <c r="G19" s="2"/>
      <c r="H19" s="2"/>
      <c r="I19" s="2"/>
      <c r="J19" s="2"/>
      <c r="K19" s="2"/>
      <c r="L19" s="2"/>
      <c r="M19" s="2"/>
      <c r="N19" s="2"/>
      <c r="O19" s="2"/>
      <c r="P19" s="2"/>
      <c r="Q19" s="2"/>
      <c r="R19" s="2"/>
      <c r="S19" s="2"/>
      <c r="T19" s="2"/>
      <c r="U19" s="2"/>
      <c r="V19" s="2"/>
      <c r="W19" s="2"/>
      <c r="X19" s="2"/>
      <c r="Y19" s="2"/>
      <c r="Z19" s="2"/>
    </row>
    <row r="20" spans="1:26" ht="34.5" customHeight="1" x14ac:dyDescent="0.35">
      <c r="A20" s="9"/>
      <c r="B20" s="22" t="s">
        <v>79</v>
      </c>
      <c r="C20" s="23" t="s">
        <v>13</v>
      </c>
      <c r="D20" s="91"/>
      <c r="E20" s="92"/>
      <c r="F20" s="2"/>
      <c r="G20" s="2"/>
      <c r="H20" s="2"/>
      <c r="I20" s="2"/>
      <c r="J20" s="2"/>
      <c r="K20" s="2"/>
      <c r="L20" s="2"/>
      <c r="M20" s="2"/>
      <c r="N20" s="2"/>
      <c r="O20" s="2"/>
      <c r="P20" s="2"/>
      <c r="Q20" s="2"/>
      <c r="R20" s="2"/>
      <c r="S20" s="2"/>
      <c r="T20" s="2"/>
      <c r="U20" s="2"/>
      <c r="V20" s="2"/>
      <c r="W20" s="2"/>
      <c r="X20" s="2"/>
      <c r="Y20" s="2"/>
      <c r="Z20" s="2"/>
    </row>
    <row r="21" spans="1:26" ht="30" customHeight="1" x14ac:dyDescent="0.35">
      <c r="A21" s="9"/>
      <c r="B21" s="93" t="s">
        <v>16</v>
      </c>
      <c r="C21" s="92"/>
      <c r="D21" s="94"/>
      <c r="E21" s="95"/>
      <c r="F21" s="2"/>
      <c r="G21" s="2"/>
      <c r="H21" s="2"/>
      <c r="I21" s="2"/>
      <c r="J21" s="2"/>
      <c r="K21" s="2"/>
      <c r="L21" s="2"/>
      <c r="M21" s="2"/>
      <c r="N21" s="2"/>
      <c r="O21" s="2"/>
      <c r="P21" s="2"/>
      <c r="Q21" s="2"/>
      <c r="R21" s="2"/>
      <c r="S21" s="2"/>
      <c r="T21" s="2"/>
      <c r="U21" s="2"/>
      <c r="V21" s="2"/>
      <c r="W21" s="2"/>
      <c r="X21" s="2"/>
      <c r="Y21" s="2"/>
      <c r="Z21" s="2"/>
    </row>
    <row r="22" spans="1:26" ht="363" customHeight="1" x14ac:dyDescent="0.35">
      <c r="A22" s="9"/>
      <c r="B22" s="13" t="s">
        <v>80</v>
      </c>
      <c r="C22" s="14" t="s">
        <v>81</v>
      </c>
      <c r="D22" s="26" t="s">
        <v>7</v>
      </c>
      <c r="E22" s="14" t="s">
        <v>82</v>
      </c>
      <c r="F22" s="2"/>
      <c r="G22" s="2"/>
      <c r="H22" s="2"/>
      <c r="I22" s="2"/>
      <c r="J22" s="2"/>
      <c r="K22" s="2"/>
      <c r="L22" s="2"/>
      <c r="M22" s="2"/>
      <c r="N22" s="2"/>
      <c r="O22" s="2"/>
      <c r="P22" s="2"/>
      <c r="Q22" s="2"/>
      <c r="R22" s="2"/>
      <c r="S22" s="2"/>
      <c r="T22" s="2"/>
      <c r="U22" s="2"/>
      <c r="V22" s="2"/>
      <c r="W22" s="2"/>
      <c r="X22" s="2"/>
      <c r="Y22" s="2"/>
      <c r="Z22" s="2"/>
    </row>
    <row r="23" spans="1:26" ht="356.25" customHeight="1" x14ac:dyDescent="0.35">
      <c r="A23" s="9"/>
      <c r="B23" s="13" t="s">
        <v>83</v>
      </c>
      <c r="C23" s="27" t="s">
        <v>17</v>
      </c>
      <c r="D23" s="26" t="s">
        <v>7</v>
      </c>
      <c r="E23" s="14" t="s">
        <v>18</v>
      </c>
      <c r="F23" s="2"/>
      <c r="G23" s="2"/>
      <c r="H23" s="2"/>
      <c r="I23" s="2"/>
      <c r="J23" s="2"/>
      <c r="K23" s="2"/>
      <c r="L23" s="2"/>
      <c r="M23" s="2"/>
      <c r="N23" s="2"/>
      <c r="O23" s="2"/>
      <c r="P23" s="2"/>
      <c r="Q23" s="2"/>
      <c r="R23" s="2"/>
      <c r="S23" s="2"/>
      <c r="T23" s="2"/>
      <c r="U23" s="2"/>
      <c r="V23" s="2"/>
      <c r="W23" s="2"/>
      <c r="X23" s="2"/>
      <c r="Y23" s="2"/>
      <c r="Z23" s="2"/>
    </row>
    <row r="24" spans="1:26" ht="396" customHeight="1" x14ac:dyDescent="0.35">
      <c r="A24" s="9"/>
      <c r="B24" s="13" t="s">
        <v>84</v>
      </c>
      <c r="C24" s="28" t="s">
        <v>19</v>
      </c>
      <c r="D24" s="26" t="s">
        <v>7</v>
      </c>
      <c r="E24" s="14" t="s">
        <v>20</v>
      </c>
      <c r="F24" s="2"/>
      <c r="G24" s="2"/>
      <c r="H24" s="2"/>
      <c r="I24" s="2"/>
      <c r="J24" s="2"/>
      <c r="K24" s="2"/>
      <c r="L24" s="2"/>
      <c r="M24" s="2"/>
      <c r="N24" s="2"/>
      <c r="O24" s="2"/>
      <c r="P24" s="2"/>
      <c r="Q24" s="2"/>
      <c r="R24" s="2"/>
      <c r="S24" s="2"/>
      <c r="T24" s="2"/>
      <c r="U24" s="2"/>
      <c r="V24" s="2"/>
      <c r="W24" s="2"/>
      <c r="X24" s="2"/>
      <c r="Y24" s="2"/>
      <c r="Z24" s="2"/>
    </row>
    <row r="25" spans="1:26" ht="409.6" customHeight="1" x14ac:dyDescent="0.35">
      <c r="A25" s="9"/>
      <c r="B25" s="13" t="s">
        <v>85</v>
      </c>
      <c r="C25" s="28" t="s">
        <v>21</v>
      </c>
      <c r="D25" s="29" t="s">
        <v>7</v>
      </c>
      <c r="E25" s="14" t="s">
        <v>22</v>
      </c>
      <c r="F25" s="2"/>
      <c r="G25" s="2"/>
      <c r="H25" s="2"/>
      <c r="I25" s="2"/>
      <c r="J25" s="2"/>
      <c r="K25" s="2"/>
      <c r="L25" s="2"/>
      <c r="M25" s="2"/>
      <c r="N25" s="2"/>
      <c r="O25" s="2"/>
      <c r="P25" s="2"/>
      <c r="Q25" s="2"/>
      <c r="R25" s="2"/>
      <c r="S25" s="2"/>
      <c r="T25" s="2"/>
      <c r="U25" s="2"/>
      <c r="V25" s="2"/>
      <c r="W25" s="2"/>
      <c r="X25" s="2"/>
      <c r="Y25" s="2"/>
      <c r="Z25" s="2"/>
    </row>
    <row r="26" spans="1:26" ht="13.5" customHeight="1" x14ac:dyDescent="0.35">
      <c r="A26" s="9"/>
      <c r="B26" s="93" t="s">
        <v>23</v>
      </c>
      <c r="C26" s="92"/>
      <c r="D26" s="30"/>
      <c r="E26" s="31"/>
      <c r="F26" s="2"/>
      <c r="G26" s="2"/>
      <c r="H26" s="2"/>
      <c r="I26" s="2"/>
      <c r="J26" s="2"/>
      <c r="K26" s="2"/>
      <c r="L26" s="2"/>
      <c r="M26" s="2"/>
      <c r="N26" s="2"/>
      <c r="O26" s="2"/>
      <c r="P26" s="2"/>
      <c r="Q26" s="2"/>
      <c r="R26" s="2"/>
      <c r="S26" s="2"/>
      <c r="T26" s="2"/>
      <c r="U26" s="2"/>
      <c r="V26" s="2"/>
      <c r="W26" s="2"/>
      <c r="X26" s="2"/>
      <c r="Y26" s="2"/>
      <c r="Z26" s="2"/>
    </row>
    <row r="27" spans="1:26" ht="351" customHeight="1" x14ac:dyDescent="0.35">
      <c r="A27" s="9"/>
      <c r="B27" s="13" t="s">
        <v>86</v>
      </c>
      <c r="C27" s="32" t="s">
        <v>24</v>
      </c>
      <c r="D27" s="33"/>
      <c r="E27" s="34"/>
      <c r="F27" s="2"/>
      <c r="G27" s="2"/>
      <c r="H27" s="2"/>
      <c r="I27" s="2"/>
      <c r="J27" s="2"/>
      <c r="K27" s="2"/>
      <c r="L27" s="2"/>
      <c r="M27" s="2"/>
      <c r="N27" s="2"/>
      <c r="O27" s="2"/>
      <c r="P27" s="2"/>
      <c r="Q27" s="2"/>
      <c r="R27" s="2"/>
      <c r="S27" s="2"/>
      <c r="T27" s="2"/>
      <c r="U27" s="2"/>
      <c r="V27" s="2"/>
      <c r="W27" s="2"/>
      <c r="X27" s="2"/>
      <c r="Y27" s="2"/>
      <c r="Z27" s="2"/>
    </row>
    <row r="28" spans="1:26" ht="36.75" customHeight="1" x14ac:dyDescent="0.35">
      <c r="A28" s="9"/>
      <c r="B28" s="13" t="s">
        <v>87</v>
      </c>
      <c r="C28" s="35" t="s">
        <v>25</v>
      </c>
      <c r="D28" s="33"/>
      <c r="E28" s="34"/>
      <c r="F28" s="2"/>
      <c r="G28" s="2"/>
      <c r="H28" s="2"/>
      <c r="I28" s="2"/>
      <c r="J28" s="2"/>
      <c r="K28" s="2"/>
      <c r="L28" s="2"/>
      <c r="M28" s="2"/>
      <c r="N28" s="2"/>
      <c r="O28" s="2"/>
      <c r="P28" s="2"/>
      <c r="Q28" s="2"/>
      <c r="R28" s="2"/>
      <c r="S28" s="2"/>
      <c r="T28" s="2"/>
      <c r="U28" s="2"/>
      <c r="V28" s="2"/>
      <c r="W28" s="2"/>
      <c r="X28" s="2"/>
      <c r="Y28" s="2"/>
      <c r="Z28" s="2"/>
    </row>
    <row r="29" spans="1:26" ht="33.75" customHeight="1" x14ac:dyDescent="0.35">
      <c r="A29" s="9"/>
      <c r="B29" s="36" t="s">
        <v>88</v>
      </c>
      <c r="C29" s="35" t="s">
        <v>13</v>
      </c>
      <c r="D29" s="33"/>
      <c r="E29" s="34"/>
      <c r="F29" s="2"/>
      <c r="G29" s="2"/>
      <c r="H29" s="2"/>
      <c r="I29" s="2"/>
      <c r="J29" s="2"/>
      <c r="K29" s="2"/>
      <c r="L29" s="2"/>
      <c r="M29" s="2"/>
      <c r="N29" s="2"/>
      <c r="O29" s="2"/>
      <c r="P29" s="2"/>
      <c r="Q29" s="2"/>
      <c r="R29" s="2"/>
      <c r="S29" s="2"/>
      <c r="T29" s="2"/>
      <c r="U29" s="2"/>
      <c r="V29" s="2"/>
      <c r="W29" s="2"/>
      <c r="X29" s="2"/>
      <c r="Y29" s="2"/>
      <c r="Z29" s="2"/>
    </row>
    <row r="30" spans="1:26" ht="26.25" customHeight="1" x14ac:dyDescent="0.35">
      <c r="A30" s="9"/>
      <c r="B30" s="37" t="s">
        <v>89</v>
      </c>
      <c r="C30" s="35" t="s">
        <v>15</v>
      </c>
      <c r="D30" s="33"/>
      <c r="E30" s="34"/>
      <c r="F30" s="2"/>
      <c r="G30" s="2"/>
      <c r="H30" s="2"/>
      <c r="I30" s="2"/>
      <c r="J30" s="2"/>
      <c r="K30" s="2"/>
      <c r="L30" s="2"/>
      <c r="M30" s="2"/>
      <c r="N30" s="2"/>
      <c r="O30" s="2"/>
      <c r="P30" s="2"/>
      <c r="Q30" s="2"/>
      <c r="R30" s="2"/>
      <c r="S30" s="2"/>
      <c r="T30" s="2"/>
      <c r="U30" s="2"/>
      <c r="V30" s="2"/>
      <c r="W30" s="2"/>
      <c r="X30" s="2"/>
      <c r="Y30" s="2"/>
      <c r="Z30" s="2"/>
    </row>
    <row r="31" spans="1:26" ht="13.5" customHeight="1" x14ac:dyDescent="0.35">
      <c r="A31" s="9"/>
      <c r="B31" s="38" t="s">
        <v>26</v>
      </c>
      <c r="C31" s="39" t="s">
        <v>27</v>
      </c>
      <c r="D31" s="40" t="s">
        <v>28</v>
      </c>
      <c r="E31" s="39" t="s">
        <v>29</v>
      </c>
      <c r="F31" s="2"/>
      <c r="G31" s="2"/>
      <c r="H31" s="2"/>
      <c r="I31" s="2"/>
      <c r="J31" s="2"/>
      <c r="K31" s="2"/>
      <c r="L31" s="2"/>
      <c r="M31" s="2"/>
      <c r="N31" s="2"/>
      <c r="O31" s="2"/>
      <c r="P31" s="2"/>
      <c r="Q31" s="2"/>
      <c r="R31" s="2"/>
      <c r="S31" s="2"/>
      <c r="T31" s="2"/>
      <c r="U31" s="2"/>
      <c r="V31" s="2"/>
      <c r="W31" s="2"/>
      <c r="X31" s="2"/>
      <c r="Y31" s="2"/>
      <c r="Z31" s="2"/>
    </row>
    <row r="32" spans="1:26" ht="71.25" customHeight="1" x14ac:dyDescent="0.35">
      <c r="A32" s="9"/>
      <c r="B32" s="22" t="s">
        <v>90</v>
      </c>
      <c r="C32" s="35" t="s">
        <v>30</v>
      </c>
      <c r="D32" s="41">
        <f>50+3+45+50+15</f>
        <v>163</v>
      </c>
      <c r="E32" s="35" t="s">
        <v>31</v>
      </c>
      <c r="F32" s="2"/>
      <c r="G32" s="2"/>
      <c r="H32" s="2"/>
      <c r="I32" s="2"/>
      <c r="J32" s="2"/>
      <c r="K32" s="2"/>
      <c r="L32" s="2"/>
      <c r="M32" s="2"/>
      <c r="N32" s="2"/>
      <c r="O32" s="2"/>
      <c r="P32" s="2"/>
      <c r="Q32" s="2"/>
      <c r="R32" s="2"/>
      <c r="S32" s="2"/>
      <c r="T32" s="2"/>
      <c r="U32" s="2"/>
      <c r="V32" s="2"/>
      <c r="W32" s="2"/>
      <c r="X32" s="2"/>
      <c r="Y32" s="2"/>
      <c r="Z32" s="2"/>
    </row>
    <row r="33" spans="1:26" ht="13.5" customHeight="1" x14ac:dyDescent="0.35">
      <c r="A33" s="9"/>
      <c r="B33" s="13" t="s">
        <v>91</v>
      </c>
      <c r="C33" s="14" t="s">
        <v>32</v>
      </c>
      <c r="D33" s="41">
        <f>3+15+6+16</f>
        <v>40</v>
      </c>
      <c r="E33" s="35" t="s">
        <v>31</v>
      </c>
      <c r="F33" s="2"/>
      <c r="G33" s="2"/>
      <c r="H33" s="2"/>
      <c r="I33" s="2"/>
      <c r="J33" s="2"/>
      <c r="K33" s="2"/>
      <c r="L33" s="2"/>
      <c r="M33" s="2"/>
      <c r="N33" s="2"/>
      <c r="O33" s="2"/>
      <c r="P33" s="2"/>
      <c r="Q33" s="2"/>
      <c r="R33" s="2"/>
      <c r="S33" s="2"/>
      <c r="T33" s="2"/>
      <c r="U33" s="2"/>
      <c r="V33" s="2"/>
      <c r="W33" s="2"/>
      <c r="X33" s="2"/>
      <c r="Y33" s="2"/>
      <c r="Z33" s="2"/>
    </row>
    <row r="34" spans="1:26" ht="22.5" customHeight="1" x14ac:dyDescent="0.35">
      <c r="A34" s="9"/>
      <c r="B34" s="22" t="s">
        <v>92</v>
      </c>
      <c r="C34" s="35" t="s">
        <v>33</v>
      </c>
      <c r="D34" s="41">
        <v>20</v>
      </c>
      <c r="E34" s="35" t="s">
        <v>34</v>
      </c>
      <c r="F34" s="2"/>
      <c r="G34" s="2"/>
      <c r="H34" s="2"/>
      <c r="I34" s="2"/>
      <c r="J34" s="2"/>
      <c r="K34" s="2"/>
      <c r="L34" s="2"/>
      <c r="M34" s="2"/>
      <c r="N34" s="2"/>
      <c r="O34" s="2"/>
      <c r="P34" s="2"/>
      <c r="Q34" s="2"/>
      <c r="R34" s="2"/>
      <c r="S34" s="2"/>
      <c r="T34" s="2"/>
      <c r="U34" s="2"/>
      <c r="V34" s="2"/>
      <c r="W34" s="2"/>
      <c r="X34" s="2"/>
      <c r="Y34" s="2"/>
      <c r="Z34" s="2"/>
    </row>
    <row r="35" spans="1:26" ht="18" customHeight="1" x14ac:dyDescent="0.35">
      <c r="A35" s="9"/>
      <c r="B35" s="42" t="s">
        <v>93</v>
      </c>
      <c r="C35" s="43" t="s">
        <v>35</v>
      </c>
      <c r="D35" s="44">
        <v>6</v>
      </c>
      <c r="E35" s="43" t="s">
        <v>34</v>
      </c>
      <c r="F35" s="2"/>
      <c r="G35" s="2"/>
      <c r="H35" s="2"/>
      <c r="I35" s="2"/>
      <c r="J35" s="2"/>
      <c r="K35" s="2"/>
      <c r="L35" s="2"/>
      <c r="M35" s="2"/>
      <c r="N35" s="2"/>
      <c r="O35" s="2"/>
      <c r="P35" s="2"/>
      <c r="Q35" s="2"/>
      <c r="R35" s="2"/>
      <c r="S35" s="2"/>
      <c r="T35" s="2"/>
      <c r="U35" s="2"/>
      <c r="V35" s="2"/>
      <c r="W35" s="2"/>
      <c r="X35" s="2"/>
      <c r="Y35" s="2"/>
      <c r="Z35" s="2"/>
    </row>
    <row r="36" spans="1:26" ht="32.25" customHeight="1" x14ac:dyDescent="0.35">
      <c r="A36" s="9"/>
      <c r="B36" s="42" t="s">
        <v>94</v>
      </c>
      <c r="C36" s="45" t="s">
        <v>36</v>
      </c>
      <c r="D36" s="41">
        <v>6</v>
      </c>
      <c r="E36" s="46" t="s">
        <v>37</v>
      </c>
      <c r="F36" s="2"/>
      <c r="G36" s="2"/>
      <c r="H36" s="2"/>
      <c r="I36" s="2"/>
      <c r="J36" s="2"/>
      <c r="K36" s="2"/>
      <c r="L36" s="2"/>
      <c r="M36" s="2"/>
      <c r="N36" s="2"/>
      <c r="O36" s="2"/>
      <c r="P36" s="2"/>
      <c r="Q36" s="2"/>
      <c r="R36" s="2"/>
      <c r="S36" s="2"/>
      <c r="T36" s="2"/>
      <c r="U36" s="2"/>
      <c r="V36" s="2"/>
      <c r="W36" s="2"/>
      <c r="X36" s="2"/>
      <c r="Y36" s="2"/>
      <c r="Z36" s="2"/>
    </row>
    <row r="37" spans="1:26" ht="13.5" customHeight="1" x14ac:dyDescent="0.35">
      <c r="A37" s="9"/>
      <c r="B37" s="93" t="s">
        <v>38</v>
      </c>
      <c r="C37" s="92"/>
      <c r="D37" s="47"/>
      <c r="E37" s="31"/>
      <c r="F37" s="2"/>
      <c r="G37" s="2"/>
      <c r="H37" s="2"/>
      <c r="I37" s="2"/>
      <c r="J37" s="2"/>
      <c r="K37" s="2"/>
      <c r="L37" s="2"/>
      <c r="M37" s="2"/>
      <c r="N37" s="2"/>
      <c r="O37" s="2"/>
      <c r="P37" s="2"/>
      <c r="Q37" s="2"/>
      <c r="R37" s="2"/>
      <c r="S37" s="2"/>
      <c r="T37" s="2"/>
      <c r="U37" s="2"/>
      <c r="V37" s="2"/>
      <c r="W37" s="2"/>
      <c r="X37" s="2"/>
      <c r="Y37" s="2"/>
      <c r="Z37" s="2"/>
    </row>
    <row r="38" spans="1:26" ht="328.5" customHeight="1" x14ac:dyDescent="0.35">
      <c r="A38" s="9"/>
      <c r="B38" s="48" t="s">
        <v>95</v>
      </c>
      <c r="C38" s="49" t="s">
        <v>96</v>
      </c>
      <c r="D38" s="50"/>
      <c r="E38" s="34"/>
      <c r="F38" s="2"/>
      <c r="G38" s="2"/>
      <c r="H38" s="2"/>
      <c r="I38" s="2"/>
      <c r="J38" s="2"/>
      <c r="K38" s="2"/>
      <c r="L38" s="2"/>
      <c r="M38" s="2"/>
      <c r="N38" s="2"/>
      <c r="O38" s="2"/>
      <c r="P38" s="2"/>
      <c r="Q38" s="2"/>
      <c r="R38" s="2"/>
      <c r="S38" s="2"/>
      <c r="T38" s="2"/>
      <c r="U38" s="2"/>
      <c r="V38" s="2"/>
      <c r="W38" s="2"/>
      <c r="X38" s="2"/>
      <c r="Y38" s="2"/>
      <c r="Z38" s="2"/>
    </row>
    <row r="39" spans="1:26" ht="34.5" customHeight="1" x14ac:dyDescent="0.35">
      <c r="A39" s="9"/>
      <c r="B39" s="51" t="s">
        <v>97</v>
      </c>
      <c r="C39" s="52" t="s">
        <v>39</v>
      </c>
      <c r="D39" s="50"/>
      <c r="E39" s="34"/>
      <c r="F39" s="2"/>
      <c r="G39" s="2"/>
      <c r="H39" s="2"/>
      <c r="I39" s="2"/>
      <c r="J39" s="2"/>
      <c r="K39" s="2"/>
      <c r="L39" s="2"/>
      <c r="M39" s="2"/>
      <c r="N39" s="2"/>
      <c r="O39" s="2"/>
      <c r="P39" s="2"/>
      <c r="Q39" s="2"/>
      <c r="R39" s="2"/>
      <c r="S39" s="2"/>
      <c r="T39" s="2"/>
      <c r="U39" s="2"/>
      <c r="V39" s="2"/>
      <c r="W39" s="2"/>
      <c r="X39" s="2"/>
      <c r="Y39" s="2"/>
      <c r="Z39" s="2"/>
    </row>
    <row r="40" spans="1:26" ht="13.5" customHeight="1" x14ac:dyDescent="0.35">
      <c r="A40" s="9"/>
      <c r="B40" s="93" t="s">
        <v>40</v>
      </c>
      <c r="C40" s="92"/>
      <c r="D40" s="30"/>
      <c r="E40" s="53"/>
      <c r="F40" s="2"/>
      <c r="G40" s="2"/>
      <c r="H40" s="2"/>
      <c r="I40" s="2"/>
      <c r="J40" s="2"/>
      <c r="K40" s="2"/>
      <c r="L40" s="2"/>
      <c r="M40" s="2"/>
      <c r="N40" s="2"/>
      <c r="O40" s="2"/>
      <c r="P40" s="2"/>
      <c r="Q40" s="2"/>
      <c r="R40" s="2"/>
      <c r="S40" s="2"/>
      <c r="T40" s="2"/>
      <c r="U40" s="2"/>
      <c r="V40" s="2"/>
      <c r="W40" s="2"/>
      <c r="X40" s="2"/>
      <c r="Y40" s="2"/>
      <c r="Z40" s="2"/>
    </row>
    <row r="41" spans="1:26" ht="288" customHeight="1" x14ac:dyDescent="0.35">
      <c r="A41" s="9"/>
      <c r="B41" s="13" t="s">
        <v>98</v>
      </c>
      <c r="C41" s="54" t="s">
        <v>41</v>
      </c>
      <c r="D41" s="50"/>
      <c r="E41" s="34"/>
      <c r="F41" s="2"/>
      <c r="G41" s="2"/>
      <c r="H41" s="2"/>
      <c r="I41" s="2"/>
      <c r="J41" s="2"/>
      <c r="K41" s="2"/>
      <c r="L41" s="2"/>
      <c r="M41" s="2"/>
      <c r="N41" s="2"/>
      <c r="O41" s="2"/>
      <c r="P41" s="2"/>
      <c r="Q41" s="2"/>
      <c r="R41" s="2"/>
      <c r="S41" s="2"/>
      <c r="T41" s="2"/>
      <c r="U41" s="2"/>
      <c r="V41" s="2"/>
      <c r="W41" s="2"/>
      <c r="X41" s="2"/>
      <c r="Y41" s="2"/>
      <c r="Z41" s="2"/>
    </row>
    <row r="42" spans="1:26" ht="124.5" customHeight="1" x14ac:dyDescent="0.35">
      <c r="A42" s="9"/>
      <c r="B42" s="17" t="s">
        <v>99</v>
      </c>
      <c r="C42" s="54" t="s">
        <v>42</v>
      </c>
      <c r="D42" s="18"/>
      <c r="E42" s="55"/>
      <c r="F42" s="2"/>
      <c r="G42" s="2"/>
      <c r="H42" s="2"/>
      <c r="I42" s="2"/>
      <c r="J42" s="2"/>
      <c r="K42" s="2"/>
      <c r="L42" s="2"/>
      <c r="M42" s="2"/>
      <c r="N42" s="2"/>
      <c r="O42" s="2"/>
      <c r="P42" s="2"/>
      <c r="Q42" s="2"/>
      <c r="R42" s="2"/>
      <c r="S42" s="2"/>
      <c r="T42" s="2"/>
      <c r="U42" s="2"/>
      <c r="V42" s="2"/>
      <c r="W42" s="2"/>
      <c r="X42" s="2"/>
      <c r="Y42" s="2"/>
      <c r="Z42" s="2"/>
    </row>
    <row r="43" spans="1:26" ht="13.5" customHeight="1" x14ac:dyDescent="0.35">
      <c r="A43" s="9"/>
      <c r="B43" s="20"/>
      <c r="C43" s="20"/>
      <c r="D43" s="21"/>
      <c r="E43" s="20"/>
      <c r="F43" s="2"/>
      <c r="G43" s="2"/>
      <c r="H43" s="2"/>
      <c r="I43" s="2"/>
      <c r="J43" s="2"/>
      <c r="K43" s="2"/>
      <c r="L43" s="2"/>
      <c r="M43" s="2"/>
      <c r="N43" s="2"/>
      <c r="O43" s="2"/>
      <c r="P43" s="2"/>
      <c r="Q43" s="2"/>
      <c r="R43" s="2"/>
      <c r="S43" s="2"/>
      <c r="T43" s="2"/>
      <c r="U43" s="2"/>
      <c r="V43" s="2"/>
      <c r="W43" s="2"/>
      <c r="X43" s="2"/>
      <c r="Y43" s="2"/>
      <c r="Z43" s="2"/>
    </row>
    <row r="44" spans="1:26" ht="50.25" customHeight="1" x14ac:dyDescent="0.35">
      <c r="A44" s="9"/>
      <c r="B44" s="97" t="s">
        <v>43</v>
      </c>
      <c r="C44" s="98"/>
      <c r="D44" s="98"/>
      <c r="E44" s="90"/>
      <c r="F44" s="2"/>
      <c r="G44" s="2"/>
      <c r="H44" s="2"/>
      <c r="I44" s="2"/>
      <c r="J44" s="2"/>
      <c r="K44" s="2"/>
      <c r="L44" s="2"/>
      <c r="M44" s="2"/>
      <c r="N44" s="2"/>
      <c r="O44" s="2"/>
      <c r="P44" s="2"/>
      <c r="Q44" s="2"/>
      <c r="R44" s="2"/>
      <c r="S44" s="2"/>
      <c r="T44" s="2"/>
      <c r="U44" s="2"/>
      <c r="V44" s="2"/>
      <c r="W44" s="2"/>
      <c r="X44" s="2"/>
      <c r="Y44" s="2"/>
      <c r="Z44" s="2"/>
    </row>
    <row r="45" spans="1:26" ht="34.5" customHeight="1" x14ac:dyDescent="0.35">
      <c r="A45" s="9"/>
      <c r="B45" s="84" t="s">
        <v>44</v>
      </c>
      <c r="C45" s="85"/>
      <c r="D45" s="85"/>
      <c r="E45" s="86"/>
      <c r="F45" s="2"/>
      <c r="G45" s="2"/>
      <c r="H45" s="2"/>
      <c r="I45" s="2"/>
      <c r="J45" s="2"/>
      <c r="K45" s="2"/>
      <c r="L45" s="2"/>
      <c r="M45" s="2"/>
      <c r="N45" s="2"/>
      <c r="O45" s="2"/>
      <c r="P45" s="2"/>
      <c r="Q45" s="2"/>
      <c r="R45" s="2"/>
      <c r="S45" s="2"/>
      <c r="T45" s="2"/>
      <c r="U45" s="2"/>
      <c r="V45" s="2"/>
      <c r="W45" s="2"/>
      <c r="X45" s="2"/>
      <c r="Y45" s="2"/>
      <c r="Z45" s="2"/>
    </row>
    <row r="46" spans="1:26" ht="15.75" customHeight="1" x14ac:dyDescent="0.35">
      <c r="A46" s="9"/>
      <c r="B46" s="56" t="s">
        <v>3</v>
      </c>
      <c r="C46" s="57" t="s">
        <v>4</v>
      </c>
      <c r="D46" s="87" t="s">
        <v>45</v>
      </c>
      <c r="E46" s="88"/>
      <c r="F46" s="2"/>
      <c r="G46" s="2"/>
      <c r="H46" s="2"/>
      <c r="I46" s="2"/>
      <c r="J46" s="2"/>
      <c r="K46" s="2"/>
      <c r="L46" s="2"/>
      <c r="M46" s="2"/>
      <c r="N46" s="2"/>
      <c r="O46" s="2"/>
      <c r="P46" s="2"/>
      <c r="Q46" s="2"/>
      <c r="R46" s="2"/>
      <c r="S46" s="2"/>
      <c r="T46" s="2"/>
      <c r="U46" s="2"/>
      <c r="V46" s="2"/>
      <c r="W46" s="2"/>
      <c r="X46" s="2"/>
      <c r="Y46" s="2"/>
      <c r="Z46" s="2"/>
    </row>
    <row r="47" spans="1:26" ht="13.5" customHeight="1" x14ac:dyDescent="0.35">
      <c r="A47" s="9"/>
      <c r="B47" s="89" t="s">
        <v>46</v>
      </c>
      <c r="C47" s="90"/>
      <c r="D47" s="30"/>
      <c r="E47" s="53"/>
      <c r="F47" s="2"/>
      <c r="G47" s="2"/>
      <c r="H47" s="2"/>
      <c r="I47" s="2"/>
      <c r="J47" s="2"/>
      <c r="K47" s="2"/>
      <c r="L47" s="2"/>
      <c r="M47" s="2"/>
      <c r="N47" s="2"/>
      <c r="O47" s="2"/>
      <c r="P47" s="2"/>
      <c r="Q47" s="2"/>
      <c r="R47" s="2"/>
      <c r="S47" s="2"/>
      <c r="T47" s="2"/>
      <c r="U47" s="2"/>
      <c r="V47" s="2"/>
      <c r="W47" s="2"/>
      <c r="X47" s="2"/>
      <c r="Y47" s="2"/>
      <c r="Z47" s="2"/>
    </row>
    <row r="48" spans="1:26" ht="156" customHeight="1" x14ac:dyDescent="0.35">
      <c r="A48" s="9"/>
      <c r="B48" s="58" t="s">
        <v>100</v>
      </c>
      <c r="C48" s="59" t="s">
        <v>13</v>
      </c>
      <c r="D48" s="60" t="s">
        <v>7</v>
      </c>
      <c r="E48" s="61" t="s">
        <v>47</v>
      </c>
      <c r="F48" s="2"/>
      <c r="G48" s="2"/>
      <c r="H48" s="2"/>
      <c r="I48" s="2"/>
      <c r="J48" s="2"/>
      <c r="K48" s="2"/>
      <c r="L48" s="2"/>
      <c r="M48" s="2"/>
      <c r="N48" s="2"/>
      <c r="O48" s="2"/>
      <c r="P48" s="2"/>
      <c r="Q48" s="2"/>
      <c r="R48" s="2"/>
      <c r="S48" s="2"/>
      <c r="T48" s="2"/>
      <c r="U48" s="2"/>
      <c r="V48" s="2"/>
      <c r="W48" s="2"/>
      <c r="X48" s="2"/>
      <c r="Y48" s="2"/>
      <c r="Z48" s="2"/>
    </row>
    <row r="49" spans="1:26" ht="78.75" customHeight="1" x14ac:dyDescent="0.35">
      <c r="A49" s="9"/>
      <c r="B49" s="58" t="s">
        <v>101</v>
      </c>
      <c r="C49" s="59" t="s">
        <v>13</v>
      </c>
      <c r="D49" s="62" t="s">
        <v>7</v>
      </c>
      <c r="E49" s="63" t="s">
        <v>102</v>
      </c>
      <c r="F49" s="2"/>
      <c r="G49" s="2"/>
      <c r="H49" s="2"/>
      <c r="I49" s="2"/>
      <c r="J49" s="2"/>
      <c r="K49" s="2"/>
      <c r="L49" s="2"/>
      <c r="M49" s="2"/>
      <c r="N49" s="2"/>
      <c r="O49" s="2"/>
      <c r="P49" s="2"/>
      <c r="Q49" s="2"/>
      <c r="R49" s="2"/>
      <c r="S49" s="2"/>
      <c r="T49" s="2"/>
      <c r="U49" s="2"/>
      <c r="V49" s="2"/>
      <c r="W49" s="2"/>
      <c r="X49" s="2"/>
      <c r="Y49" s="2"/>
      <c r="Z49" s="2"/>
    </row>
    <row r="50" spans="1:26" ht="101.25" customHeight="1" x14ac:dyDescent="0.35">
      <c r="A50" s="9"/>
      <c r="B50" s="58" t="s">
        <v>103</v>
      </c>
      <c r="C50" s="59" t="s">
        <v>13</v>
      </c>
      <c r="D50" s="62" t="s">
        <v>7</v>
      </c>
      <c r="E50" s="64" t="s">
        <v>48</v>
      </c>
      <c r="F50" s="2"/>
      <c r="G50" s="2"/>
      <c r="H50" s="2"/>
      <c r="I50" s="2"/>
      <c r="J50" s="2"/>
      <c r="K50" s="2"/>
      <c r="L50" s="2"/>
      <c r="M50" s="2"/>
      <c r="N50" s="2"/>
      <c r="O50" s="2"/>
      <c r="P50" s="2"/>
      <c r="Q50" s="2"/>
      <c r="R50" s="2"/>
      <c r="S50" s="2"/>
      <c r="T50" s="2"/>
      <c r="U50" s="2"/>
      <c r="V50" s="2"/>
      <c r="W50" s="2"/>
      <c r="X50" s="2"/>
      <c r="Y50" s="2"/>
      <c r="Z50" s="2"/>
    </row>
    <row r="51" spans="1:26" ht="60.75" customHeight="1" x14ac:dyDescent="0.35">
      <c r="A51" s="9"/>
      <c r="B51" s="58" t="s">
        <v>104</v>
      </c>
      <c r="C51" s="59" t="s">
        <v>13</v>
      </c>
      <c r="D51" s="62" t="s">
        <v>7</v>
      </c>
      <c r="E51" s="63" t="s">
        <v>49</v>
      </c>
      <c r="F51" s="2"/>
      <c r="G51" s="2"/>
      <c r="H51" s="2"/>
      <c r="I51" s="2"/>
      <c r="J51" s="2"/>
      <c r="K51" s="2"/>
      <c r="L51" s="2"/>
      <c r="M51" s="2"/>
      <c r="N51" s="2"/>
      <c r="O51" s="2"/>
      <c r="P51" s="2"/>
      <c r="Q51" s="2"/>
      <c r="R51" s="2"/>
      <c r="S51" s="2"/>
      <c r="T51" s="2"/>
      <c r="U51" s="2"/>
      <c r="V51" s="2"/>
      <c r="W51" s="2"/>
      <c r="X51" s="2"/>
      <c r="Y51" s="2"/>
      <c r="Z51" s="2"/>
    </row>
    <row r="52" spans="1:26" ht="49.5" customHeight="1" x14ac:dyDescent="0.35">
      <c r="A52" s="9"/>
      <c r="B52" s="58" t="s">
        <v>105</v>
      </c>
      <c r="C52" s="59" t="s">
        <v>13</v>
      </c>
      <c r="D52" s="62" t="s">
        <v>7</v>
      </c>
      <c r="E52" s="65" t="s">
        <v>50</v>
      </c>
      <c r="F52" s="2"/>
      <c r="G52" s="2"/>
      <c r="H52" s="2"/>
      <c r="I52" s="2"/>
      <c r="J52" s="2"/>
      <c r="K52" s="2"/>
      <c r="L52" s="2"/>
      <c r="M52" s="2"/>
      <c r="N52" s="2"/>
      <c r="O52" s="2"/>
      <c r="P52" s="2"/>
      <c r="Q52" s="2"/>
      <c r="R52" s="2"/>
      <c r="S52" s="2"/>
      <c r="T52" s="2"/>
      <c r="U52" s="2"/>
      <c r="V52" s="2"/>
      <c r="W52" s="2"/>
      <c r="X52" s="2"/>
      <c r="Y52" s="2"/>
      <c r="Z52" s="2"/>
    </row>
    <row r="53" spans="1:26" ht="13.5" customHeight="1" x14ac:dyDescent="0.35">
      <c r="A53" s="9"/>
      <c r="B53" s="89" t="s">
        <v>51</v>
      </c>
      <c r="C53" s="90"/>
      <c r="D53" s="66"/>
      <c r="E53" s="67"/>
      <c r="F53" s="2"/>
      <c r="G53" s="2"/>
      <c r="H53" s="2"/>
      <c r="I53" s="2"/>
      <c r="J53" s="2"/>
      <c r="K53" s="2"/>
      <c r="L53" s="2"/>
      <c r="M53" s="2"/>
      <c r="N53" s="2"/>
      <c r="O53" s="2"/>
      <c r="P53" s="2"/>
      <c r="Q53" s="2"/>
      <c r="R53" s="2"/>
      <c r="S53" s="2"/>
      <c r="T53" s="2"/>
      <c r="U53" s="2"/>
      <c r="V53" s="2"/>
      <c r="W53" s="2"/>
      <c r="X53" s="2"/>
      <c r="Y53" s="2"/>
      <c r="Z53" s="2"/>
    </row>
    <row r="54" spans="1:26" ht="128.25" customHeight="1" x14ac:dyDescent="0.35">
      <c r="A54" s="9"/>
      <c r="B54" s="68" t="s">
        <v>106</v>
      </c>
      <c r="C54" s="69" t="s">
        <v>52</v>
      </c>
      <c r="D54" s="70"/>
      <c r="E54" s="71"/>
      <c r="F54" s="2"/>
      <c r="G54" s="2"/>
      <c r="H54" s="2"/>
      <c r="I54" s="2"/>
      <c r="J54" s="2"/>
      <c r="K54" s="2"/>
      <c r="L54" s="2"/>
      <c r="M54" s="2"/>
      <c r="N54" s="2"/>
      <c r="O54" s="2"/>
      <c r="P54" s="2"/>
      <c r="Q54" s="2"/>
      <c r="R54" s="2"/>
      <c r="S54" s="2"/>
      <c r="T54" s="2"/>
      <c r="U54" s="2"/>
      <c r="V54" s="2"/>
      <c r="W54" s="2"/>
      <c r="X54" s="2"/>
      <c r="Y54" s="2"/>
      <c r="Z54" s="2"/>
    </row>
    <row r="55" spans="1:26" ht="138" customHeight="1" x14ac:dyDescent="0.35">
      <c r="A55" s="9"/>
      <c r="B55" s="72" t="s">
        <v>107</v>
      </c>
      <c r="C55" s="73" t="s">
        <v>53</v>
      </c>
      <c r="D55" s="74"/>
      <c r="E55" s="75"/>
      <c r="F55" s="2"/>
      <c r="G55" s="2"/>
      <c r="H55" s="2"/>
      <c r="I55" s="2"/>
      <c r="J55" s="2"/>
      <c r="K55" s="2"/>
      <c r="L55" s="2"/>
      <c r="M55" s="2"/>
      <c r="N55" s="2"/>
      <c r="O55" s="2"/>
      <c r="P55" s="2"/>
      <c r="Q55" s="2"/>
      <c r="R55" s="2"/>
      <c r="S55" s="2"/>
      <c r="T55" s="2"/>
      <c r="U55" s="2"/>
      <c r="V55" s="2"/>
      <c r="W55" s="2"/>
      <c r="X55" s="2"/>
      <c r="Y55" s="2"/>
      <c r="Z55" s="2"/>
    </row>
    <row r="56" spans="1:26" ht="13.5" customHeight="1" x14ac:dyDescent="0.35">
      <c r="A56" s="9"/>
      <c r="B56" s="76"/>
      <c r="C56" s="77"/>
      <c r="D56" s="78"/>
      <c r="E56" s="9"/>
      <c r="F56" s="2"/>
      <c r="G56" s="2"/>
      <c r="H56" s="2"/>
      <c r="I56" s="2"/>
      <c r="J56" s="2"/>
      <c r="K56" s="2"/>
      <c r="L56" s="2"/>
      <c r="M56" s="2"/>
      <c r="N56" s="2"/>
      <c r="O56" s="2"/>
      <c r="P56" s="2"/>
      <c r="Q56" s="2"/>
      <c r="R56" s="2"/>
      <c r="S56" s="2"/>
      <c r="T56" s="2"/>
      <c r="U56" s="2"/>
      <c r="V56" s="2"/>
      <c r="W56" s="2"/>
      <c r="X56" s="2"/>
      <c r="Y56" s="2"/>
      <c r="Z56" s="2"/>
    </row>
    <row r="57" spans="1:26" ht="13.5" customHeight="1" x14ac:dyDescent="0.35">
      <c r="A57" s="9"/>
      <c r="B57" s="76"/>
      <c r="C57" s="9"/>
      <c r="D57" s="78"/>
      <c r="E57" s="9"/>
      <c r="F57" s="2"/>
      <c r="G57" s="2"/>
      <c r="H57" s="2"/>
      <c r="I57" s="2"/>
      <c r="J57" s="2"/>
      <c r="K57" s="2"/>
      <c r="L57" s="2"/>
      <c r="M57" s="2"/>
      <c r="N57" s="2"/>
      <c r="O57" s="2"/>
      <c r="P57" s="2"/>
      <c r="Q57" s="2"/>
      <c r="R57" s="2"/>
      <c r="S57" s="2"/>
      <c r="T57" s="2"/>
      <c r="U57" s="2"/>
      <c r="V57" s="2"/>
      <c r="W57" s="2"/>
      <c r="X57" s="2"/>
      <c r="Y57" s="2"/>
      <c r="Z57" s="2"/>
    </row>
    <row r="58" spans="1:26" ht="13.5" customHeight="1" x14ac:dyDescent="0.35">
      <c r="A58" s="9"/>
      <c r="B58" s="76"/>
      <c r="C58" s="9"/>
      <c r="D58" s="78"/>
      <c r="E58" s="9"/>
      <c r="F58" s="2"/>
      <c r="G58" s="2"/>
      <c r="H58" s="2"/>
      <c r="I58" s="2"/>
      <c r="J58" s="2"/>
      <c r="K58" s="2"/>
      <c r="L58" s="2"/>
      <c r="M58" s="2"/>
      <c r="N58" s="2"/>
      <c r="O58" s="2"/>
      <c r="P58" s="2"/>
      <c r="Q58" s="2"/>
      <c r="R58" s="2"/>
      <c r="S58" s="2"/>
      <c r="T58" s="2"/>
      <c r="U58" s="2"/>
      <c r="V58" s="2"/>
      <c r="W58" s="2"/>
      <c r="X58" s="2"/>
      <c r="Y58" s="2"/>
      <c r="Z58" s="2"/>
    </row>
    <row r="59" spans="1:26" ht="13.5" customHeight="1" x14ac:dyDescent="0.35">
      <c r="A59" s="9"/>
      <c r="B59" s="76"/>
      <c r="C59" s="9"/>
      <c r="D59" s="78"/>
      <c r="E59" s="9"/>
      <c r="F59" s="2"/>
      <c r="G59" s="2"/>
      <c r="H59" s="2"/>
      <c r="I59" s="2"/>
      <c r="J59" s="2"/>
      <c r="K59" s="2"/>
      <c r="L59" s="2"/>
      <c r="M59" s="2"/>
      <c r="N59" s="2"/>
      <c r="O59" s="2"/>
      <c r="P59" s="2"/>
      <c r="Q59" s="2"/>
      <c r="R59" s="2"/>
      <c r="S59" s="2"/>
      <c r="T59" s="2"/>
      <c r="U59" s="2"/>
      <c r="V59" s="2"/>
      <c r="W59" s="2"/>
      <c r="X59" s="2"/>
      <c r="Y59" s="2"/>
      <c r="Z59" s="2"/>
    </row>
    <row r="60" spans="1:26" ht="13.5" customHeight="1" x14ac:dyDescent="0.35">
      <c r="A60" s="9"/>
      <c r="B60" s="76"/>
      <c r="C60" s="9"/>
      <c r="D60" s="78"/>
      <c r="E60" s="9"/>
      <c r="F60" s="2"/>
      <c r="G60" s="2"/>
      <c r="H60" s="2"/>
      <c r="I60" s="2"/>
      <c r="J60" s="2"/>
      <c r="K60" s="2"/>
      <c r="L60" s="2"/>
      <c r="M60" s="2"/>
      <c r="N60" s="2"/>
      <c r="O60" s="2"/>
      <c r="P60" s="2"/>
      <c r="Q60" s="2"/>
      <c r="R60" s="2"/>
      <c r="S60" s="2"/>
      <c r="T60" s="2"/>
      <c r="U60" s="2"/>
      <c r="V60" s="2"/>
      <c r="W60" s="2"/>
      <c r="X60" s="2"/>
      <c r="Y60" s="2"/>
      <c r="Z60" s="2"/>
    </row>
    <row r="61" spans="1:26" ht="13.5" customHeight="1" x14ac:dyDescent="0.35">
      <c r="A61" s="9"/>
      <c r="B61" s="76"/>
      <c r="C61" s="9"/>
      <c r="D61" s="78"/>
      <c r="E61" s="9"/>
      <c r="F61" s="2"/>
      <c r="G61" s="2"/>
      <c r="H61" s="2"/>
      <c r="I61" s="2"/>
      <c r="J61" s="2"/>
      <c r="K61" s="2"/>
      <c r="L61" s="2"/>
      <c r="M61" s="2"/>
      <c r="N61" s="2"/>
      <c r="O61" s="2"/>
      <c r="P61" s="2"/>
      <c r="Q61" s="2"/>
      <c r="R61" s="2"/>
      <c r="S61" s="2"/>
      <c r="T61" s="2"/>
      <c r="U61" s="2"/>
      <c r="V61" s="2"/>
      <c r="W61" s="2"/>
      <c r="X61" s="2"/>
      <c r="Y61" s="2"/>
      <c r="Z61" s="2"/>
    </row>
    <row r="62" spans="1:26" ht="13.5" customHeight="1" x14ac:dyDescent="0.35">
      <c r="A62" s="9"/>
      <c r="B62" s="76"/>
      <c r="C62" s="9"/>
      <c r="D62" s="78"/>
      <c r="E62" s="9"/>
      <c r="F62" s="2"/>
      <c r="G62" s="2"/>
      <c r="H62" s="2"/>
      <c r="I62" s="2"/>
      <c r="J62" s="2"/>
      <c r="K62" s="2"/>
      <c r="L62" s="2"/>
      <c r="M62" s="2"/>
      <c r="N62" s="2"/>
      <c r="O62" s="2"/>
      <c r="P62" s="2"/>
      <c r="Q62" s="2"/>
      <c r="R62" s="2"/>
      <c r="S62" s="2"/>
      <c r="T62" s="2"/>
      <c r="U62" s="2"/>
      <c r="V62" s="2"/>
      <c r="W62" s="2"/>
      <c r="X62" s="2"/>
      <c r="Y62" s="2"/>
      <c r="Z62" s="2"/>
    </row>
    <row r="63" spans="1:26" ht="13.5" customHeight="1" x14ac:dyDescent="0.35">
      <c r="A63" s="9"/>
      <c r="B63" s="76"/>
      <c r="C63" s="9"/>
      <c r="D63" s="78"/>
      <c r="E63" s="9"/>
      <c r="F63" s="2"/>
      <c r="G63" s="2"/>
      <c r="H63" s="2"/>
      <c r="I63" s="2"/>
      <c r="J63" s="2"/>
      <c r="K63" s="2"/>
      <c r="L63" s="2"/>
      <c r="M63" s="2"/>
      <c r="N63" s="2"/>
      <c r="O63" s="2"/>
      <c r="P63" s="2"/>
      <c r="Q63" s="2"/>
      <c r="R63" s="2"/>
      <c r="S63" s="2"/>
      <c r="T63" s="2"/>
      <c r="U63" s="2"/>
      <c r="V63" s="2"/>
      <c r="W63" s="2"/>
      <c r="X63" s="2"/>
      <c r="Y63" s="2"/>
      <c r="Z63" s="2"/>
    </row>
    <row r="64" spans="1:26" ht="13.5" customHeight="1" x14ac:dyDescent="0.35">
      <c r="A64" s="79"/>
      <c r="B64" s="76"/>
      <c r="C64" s="9"/>
      <c r="D64" s="78"/>
      <c r="E64" s="9"/>
      <c r="F64" s="2"/>
      <c r="G64" s="2"/>
      <c r="H64" s="2"/>
      <c r="I64" s="2"/>
      <c r="J64" s="2"/>
      <c r="K64" s="2"/>
      <c r="L64" s="2"/>
      <c r="M64" s="2"/>
      <c r="N64" s="2"/>
      <c r="O64" s="2"/>
      <c r="P64" s="2"/>
      <c r="Q64" s="2"/>
      <c r="R64" s="2"/>
      <c r="S64" s="2"/>
      <c r="T64" s="2"/>
      <c r="U64" s="2"/>
      <c r="V64" s="2"/>
      <c r="W64" s="2"/>
      <c r="X64" s="2"/>
      <c r="Y64" s="2"/>
      <c r="Z64" s="2"/>
    </row>
    <row r="65" spans="1:26" ht="13.5" customHeight="1" x14ac:dyDescent="0.35">
      <c r="A65" s="9"/>
      <c r="B65" s="76"/>
      <c r="C65" s="9"/>
      <c r="D65" s="78"/>
      <c r="E65" s="9"/>
      <c r="F65" s="2"/>
      <c r="G65" s="2"/>
      <c r="H65" s="2"/>
      <c r="I65" s="2"/>
      <c r="J65" s="2"/>
      <c r="K65" s="2"/>
      <c r="L65" s="2"/>
      <c r="M65" s="2"/>
      <c r="N65" s="2"/>
      <c r="O65" s="2"/>
      <c r="P65" s="2"/>
      <c r="Q65" s="2"/>
      <c r="R65" s="2"/>
      <c r="S65" s="2"/>
      <c r="T65" s="2"/>
      <c r="U65" s="2"/>
      <c r="V65" s="2"/>
      <c r="W65" s="2"/>
      <c r="X65" s="2"/>
      <c r="Y65" s="2"/>
      <c r="Z65" s="2"/>
    </row>
    <row r="66" spans="1:26" ht="13.5" customHeight="1" x14ac:dyDescent="0.35">
      <c r="A66" s="9"/>
      <c r="B66" s="76"/>
      <c r="C66" s="9"/>
      <c r="D66" s="78"/>
      <c r="E66" s="9"/>
      <c r="F66" s="2"/>
      <c r="G66" s="2"/>
      <c r="H66" s="2"/>
      <c r="I66" s="2"/>
      <c r="J66" s="2"/>
      <c r="K66" s="2"/>
      <c r="L66" s="2"/>
      <c r="M66" s="2"/>
      <c r="N66" s="2"/>
      <c r="O66" s="2"/>
      <c r="P66" s="2"/>
      <c r="Q66" s="2"/>
      <c r="R66" s="2"/>
      <c r="S66" s="2"/>
      <c r="T66" s="2"/>
      <c r="U66" s="2"/>
      <c r="V66" s="2"/>
      <c r="W66" s="2"/>
      <c r="X66" s="2"/>
      <c r="Y66" s="2"/>
      <c r="Z66" s="2"/>
    </row>
    <row r="67" spans="1:26" ht="13.5" customHeight="1" x14ac:dyDescent="0.35">
      <c r="A67" s="9"/>
      <c r="B67" s="76"/>
      <c r="C67" s="9"/>
      <c r="D67" s="78"/>
      <c r="E67" s="9"/>
      <c r="F67" s="2"/>
      <c r="G67" s="2"/>
      <c r="H67" s="2"/>
      <c r="I67" s="2"/>
      <c r="J67" s="2"/>
      <c r="K67" s="2"/>
      <c r="L67" s="2"/>
      <c r="M67" s="2"/>
      <c r="N67" s="2"/>
      <c r="O67" s="2"/>
      <c r="P67" s="2"/>
      <c r="Q67" s="2"/>
      <c r="R67" s="2"/>
      <c r="S67" s="2"/>
      <c r="T67" s="2"/>
      <c r="U67" s="2"/>
      <c r="V67" s="2"/>
      <c r="W67" s="2"/>
      <c r="X67" s="2"/>
      <c r="Y67" s="2"/>
      <c r="Z67" s="2"/>
    </row>
    <row r="68" spans="1:26" ht="13.5" customHeight="1" x14ac:dyDescent="0.35">
      <c r="A68" s="9"/>
      <c r="B68" s="76"/>
      <c r="C68" s="9"/>
      <c r="D68" s="78"/>
      <c r="E68" s="9"/>
      <c r="F68" s="2"/>
      <c r="G68" s="2"/>
      <c r="H68" s="2"/>
      <c r="I68" s="2"/>
      <c r="J68" s="2"/>
      <c r="K68" s="2"/>
      <c r="L68" s="2"/>
      <c r="M68" s="2"/>
      <c r="N68" s="2"/>
      <c r="O68" s="2"/>
      <c r="P68" s="2"/>
      <c r="Q68" s="2"/>
      <c r="R68" s="2"/>
      <c r="S68" s="2"/>
      <c r="T68" s="2"/>
      <c r="U68" s="2"/>
      <c r="V68" s="2"/>
      <c r="W68" s="2"/>
      <c r="X68" s="2"/>
      <c r="Y68" s="2"/>
      <c r="Z68" s="2"/>
    </row>
    <row r="69" spans="1:26" ht="13.5" customHeight="1" x14ac:dyDescent="0.35">
      <c r="A69" s="9"/>
      <c r="B69" s="76"/>
      <c r="C69" s="9"/>
      <c r="D69" s="78"/>
      <c r="E69" s="9"/>
      <c r="F69" s="2"/>
      <c r="G69" s="2"/>
      <c r="H69" s="2"/>
      <c r="I69" s="2"/>
      <c r="J69" s="2"/>
      <c r="K69" s="2"/>
      <c r="L69" s="2"/>
      <c r="M69" s="2"/>
      <c r="N69" s="2"/>
      <c r="O69" s="2"/>
      <c r="P69" s="2"/>
      <c r="Q69" s="2"/>
      <c r="R69" s="2"/>
      <c r="S69" s="2"/>
      <c r="T69" s="2"/>
      <c r="U69" s="2"/>
      <c r="V69" s="2"/>
      <c r="W69" s="2"/>
      <c r="X69" s="2"/>
      <c r="Y69" s="2"/>
      <c r="Z69" s="2"/>
    </row>
    <row r="70" spans="1:26" ht="13.5" customHeight="1" x14ac:dyDescent="0.35">
      <c r="A70" s="9"/>
      <c r="B70" s="76"/>
      <c r="C70" s="9"/>
      <c r="D70" s="78"/>
      <c r="E70" s="9"/>
      <c r="F70" s="2"/>
      <c r="G70" s="2"/>
      <c r="H70" s="2"/>
      <c r="I70" s="2"/>
      <c r="J70" s="2"/>
      <c r="K70" s="2"/>
      <c r="L70" s="2"/>
      <c r="M70" s="2"/>
      <c r="N70" s="2"/>
      <c r="O70" s="2"/>
      <c r="P70" s="2"/>
      <c r="Q70" s="2"/>
      <c r="R70" s="2"/>
      <c r="S70" s="2"/>
      <c r="T70" s="2"/>
      <c r="U70" s="2"/>
      <c r="V70" s="2"/>
      <c r="W70" s="2"/>
      <c r="X70" s="2"/>
      <c r="Y70" s="2"/>
      <c r="Z70" s="2"/>
    </row>
    <row r="71" spans="1:26" ht="13.5" customHeight="1" x14ac:dyDescent="0.35">
      <c r="A71" s="9"/>
      <c r="B71" s="76"/>
      <c r="C71" s="9"/>
      <c r="D71" s="78"/>
      <c r="E71" s="9"/>
      <c r="F71" s="2"/>
      <c r="G71" s="2"/>
      <c r="H71" s="2"/>
      <c r="I71" s="2"/>
      <c r="J71" s="2"/>
      <c r="K71" s="2"/>
      <c r="L71" s="2"/>
      <c r="M71" s="2"/>
      <c r="N71" s="2"/>
      <c r="O71" s="2"/>
      <c r="P71" s="2"/>
      <c r="Q71" s="2"/>
      <c r="R71" s="2"/>
      <c r="S71" s="2"/>
      <c r="T71" s="2"/>
      <c r="U71" s="2"/>
      <c r="V71" s="2"/>
      <c r="W71" s="2"/>
      <c r="X71" s="2"/>
      <c r="Y71" s="2"/>
      <c r="Z71" s="2"/>
    </row>
    <row r="72" spans="1:26" ht="13.5" customHeight="1" x14ac:dyDescent="0.35">
      <c r="A72" s="9"/>
      <c r="B72" s="76"/>
      <c r="C72" s="9"/>
      <c r="D72" s="78"/>
      <c r="E72" s="9"/>
      <c r="F72" s="2"/>
      <c r="G72" s="2"/>
      <c r="H72" s="2"/>
      <c r="I72" s="2"/>
      <c r="J72" s="2"/>
      <c r="K72" s="2"/>
      <c r="L72" s="2"/>
      <c r="M72" s="2"/>
      <c r="N72" s="2"/>
      <c r="O72" s="2"/>
      <c r="P72" s="2"/>
      <c r="Q72" s="2"/>
      <c r="R72" s="2"/>
      <c r="S72" s="2"/>
      <c r="T72" s="2"/>
      <c r="U72" s="2"/>
      <c r="V72" s="2"/>
      <c r="W72" s="2"/>
      <c r="X72" s="2"/>
      <c r="Y72" s="2"/>
      <c r="Z72" s="2"/>
    </row>
    <row r="73" spans="1:26" ht="13.5" customHeight="1" x14ac:dyDescent="0.35">
      <c r="A73" s="9"/>
      <c r="B73" s="76"/>
      <c r="C73" s="9"/>
      <c r="D73" s="78"/>
      <c r="E73" s="9"/>
      <c r="F73" s="2"/>
      <c r="G73" s="2"/>
      <c r="H73" s="2"/>
      <c r="I73" s="2"/>
      <c r="J73" s="2"/>
      <c r="K73" s="2"/>
      <c r="L73" s="2"/>
      <c r="M73" s="2"/>
      <c r="N73" s="2"/>
      <c r="O73" s="2"/>
      <c r="P73" s="2"/>
      <c r="Q73" s="2"/>
      <c r="R73" s="2"/>
      <c r="S73" s="2"/>
      <c r="T73" s="2"/>
      <c r="U73" s="2"/>
      <c r="V73" s="2"/>
      <c r="W73" s="2"/>
      <c r="X73" s="2"/>
      <c r="Y73" s="2"/>
      <c r="Z73" s="2"/>
    </row>
    <row r="74" spans="1:26" ht="13.5" customHeight="1" x14ac:dyDescent="0.35">
      <c r="A74" s="9"/>
      <c r="B74" s="76"/>
      <c r="C74" s="9"/>
      <c r="D74" s="78"/>
      <c r="E74" s="9"/>
      <c r="F74" s="2"/>
      <c r="G74" s="2"/>
      <c r="H74" s="2"/>
      <c r="I74" s="2"/>
      <c r="J74" s="2"/>
      <c r="K74" s="2"/>
      <c r="L74" s="2"/>
      <c r="M74" s="2"/>
      <c r="N74" s="2"/>
      <c r="O74" s="2"/>
      <c r="P74" s="2"/>
      <c r="Q74" s="2"/>
      <c r="R74" s="2"/>
      <c r="S74" s="2"/>
      <c r="T74" s="2"/>
      <c r="U74" s="2"/>
      <c r="V74" s="2"/>
      <c r="W74" s="2"/>
      <c r="X74" s="2"/>
      <c r="Y74" s="2"/>
      <c r="Z74" s="2"/>
    </row>
    <row r="75" spans="1:26" ht="13.5" customHeight="1" x14ac:dyDescent="0.35">
      <c r="A75" s="9"/>
      <c r="B75" s="76"/>
      <c r="C75" s="9"/>
      <c r="D75" s="78"/>
      <c r="E75" s="9"/>
      <c r="F75" s="2"/>
      <c r="G75" s="2"/>
      <c r="H75" s="2"/>
      <c r="I75" s="2"/>
      <c r="J75" s="2"/>
      <c r="K75" s="2"/>
      <c r="L75" s="2"/>
      <c r="M75" s="2"/>
      <c r="N75" s="2"/>
      <c r="O75" s="2"/>
      <c r="P75" s="2"/>
      <c r="Q75" s="2"/>
      <c r="R75" s="2"/>
      <c r="S75" s="2"/>
      <c r="T75" s="2"/>
      <c r="U75" s="2"/>
      <c r="V75" s="2"/>
      <c r="W75" s="2"/>
      <c r="X75" s="2"/>
      <c r="Y75" s="2"/>
      <c r="Z75" s="2"/>
    </row>
    <row r="76" spans="1:26" ht="13.5" customHeight="1" x14ac:dyDescent="0.35">
      <c r="A76" s="9"/>
      <c r="B76" s="76"/>
      <c r="C76" s="9"/>
      <c r="D76" s="78"/>
      <c r="E76" s="9"/>
      <c r="F76" s="2"/>
      <c r="G76" s="2"/>
      <c r="H76" s="2"/>
      <c r="I76" s="2"/>
      <c r="J76" s="2"/>
      <c r="K76" s="2"/>
      <c r="L76" s="2"/>
      <c r="M76" s="2"/>
      <c r="N76" s="2"/>
      <c r="O76" s="2"/>
      <c r="P76" s="2"/>
      <c r="Q76" s="2"/>
      <c r="R76" s="2"/>
      <c r="S76" s="2"/>
      <c r="T76" s="2"/>
      <c r="U76" s="2"/>
      <c r="V76" s="2"/>
      <c r="W76" s="2"/>
      <c r="X76" s="2"/>
      <c r="Y76" s="2"/>
      <c r="Z76" s="2"/>
    </row>
    <row r="77" spans="1:26" ht="13.5" customHeight="1" x14ac:dyDescent="0.35">
      <c r="A77" s="9"/>
      <c r="B77" s="76"/>
      <c r="C77" s="9"/>
      <c r="D77" s="78"/>
      <c r="E77" s="9"/>
      <c r="F77" s="2"/>
      <c r="G77" s="2"/>
      <c r="H77" s="2"/>
      <c r="I77" s="2"/>
      <c r="J77" s="2"/>
      <c r="K77" s="2"/>
      <c r="L77" s="2"/>
      <c r="M77" s="2"/>
      <c r="N77" s="2"/>
      <c r="O77" s="2"/>
      <c r="P77" s="2"/>
      <c r="Q77" s="2"/>
      <c r="R77" s="2"/>
      <c r="S77" s="2"/>
      <c r="T77" s="2"/>
      <c r="U77" s="2"/>
      <c r="V77" s="2"/>
      <c r="W77" s="2"/>
      <c r="X77" s="2"/>
      <c r="Y77" s="2"/>
      <c r="Z77" s="2"/>
    </row>
    <row r="78" spans="1:26" ht="13.5" customHeight="1" x14ac:dyDescent="0.35">
      <c r="A78" s="9"/>
      <c r="B78" s="76"/>
      <c r="C78" s="9"/>
      <c r="D78" s="78"/>
      <c r="E78" s="9"/>
      <c r="F78" s="2"/>
      <c r="G78" s="2"/>
      <c r="H78" s="2"/>
      <c r="I78" s="2"/>
      <c r="J78" s="2"/>
      <c r="K78" s="2"/>
      <c r="L78" s="2"/>
      <c r="M78" s="2"/>
      <c r="N78" s="2"/>
      <c r="O78" s="2"/>
      <c r="P78" s="2"/>
      <c r="Q78" s="2"/>
      <c r="R78" s="2"/>
      <c r="S78" s="2"/>
      <c r="T78" s="2"/>
      <c r="U78" s="2"/>
      <c r="V78" s="2"/>
      <c r="W78" s="2"/>
      <c r="X78" s="2"/>
      <c r="Y78" s="2"/>
      <c r="Z78" s="2"/>
    </row>
    <row r="79" spans="1:26" ht="13.5" customHeight="1" x14ac:dyDescent="0.35">
      <c r="A79" s="9"/>
      <c r="B79" s="76"/>
      <c r="C79" s="9"/>
      <c r="D79" s="78"/>
      <c r="E79" s="9"/>
      <c r="F79" s="2"/>
      <c r="G79" s="2"/>
      <c r="H79" s="2"/>
      <c r="I79" s="2"/>
      <c r="J79" s="2"/>
      <c r="K79" s="2"/>
      <c r="L79" s="2"/>
      <c r="M79" s="2"/>
      <c r="N79" s="2"/>
      <c r="O79" s="2"/>
      <c r="P79" s="2"/>
      <c r="Q79" s="2"/>
      <c r="R79" s="2"/>
      <c r="S79" s="2"/>
      <c r="T79" s="2"/>
      <c r="U79" s="2"/>
      <c r="V79" s="2"/>
      <c r="W79" s="2"/>
      <c r="X79" s="2"/>
      <c r="Y79" s="2"/>
      <c r="Z79" s="2"/>
    </row>
    <row r="80" spans="1:26" ht="13.5" customHeight="1" x14ac:dyDescent="0.35">
      <c r="A80" s="9"/>
      <c r="B80" s="76"/>
      <c r="C80" s="9"/>
      <c r="D80" s="78"/>
      <c r="E80" s="9"/>
      <c r="F80" s="2"/>
      <c r="G80" s="2"/>
      <c r="H80" s="2"/>
      <c r="I80" s="2"/>
      <c r="J80" s="2"/>
      <c r="K80" s="2"/>
      <c r="L80" s="2"/>
      <c r="M80" s="2"/>
      <c r="N80" s="2"/>
      <c r="O80" s="2"/>
      <c r="P80" s="2"/>
      <c r="Q80" s="2"/>
      <c r="R80" s="2"/>
      <c r="S80" s="2"/>
      <c r="T80" s="2"/>
      <c r="U80" s="2"/>
      <c r="V80" s="2"/>
      <c r="W80" s="2"/>
      <c r="X80" s="2"/>
      <c r="Y80" s="2"/>
      <c r="Z80" s="2"/>
    </row>
    <row r="81" spans="1:26" ht="13.5" customHeight="1" x14ac:dyDescent="0.35">
      <c r="A81" s="9"/>
      <c r="B81" s="76"/>
      <c r="C81" s="9"/>
      <c r="D81" s="78"/>
      <c r="E81" s="9"/>
      <c r="F81" s="2"/>
      <c r="G81" s="2"/>
      <c r="H81" s="2"/>
      <c r="I81" s="2"/>
      <c r="J81" s="2"/>
      <c r="K81" s="2"/>
      <c r="L81" s="2"/>
      <c r="M81" s="2"/>
      <c r="N81" s="2"/>
      <c r="O81" s="2"/>
      <c r="P81" s="2"/>
      <c r="Q81" s="2"/>
      <c r="R81" s="2"/>
      <c r="S81" s="2"/>
      <c r="T81" s="2"/>
      <c r="U81" s="2"/>
      <c r="V81" s="2"/>
      <c r="W81" s="2"/>
      <c r="X81" s="2"/>
      <c r="Y81" s="2"/>
      <c r="Z81" s="2"/>
    </row>
    <row r="82" spans="1:26" ht="13.5" customHeight="1" x14ac:dyDescent="0.35">
      <c r="A82" s="9"/>
      <c r="B82" s="76"/>
      <c r="C82" s="9"/>
      <c r="D82" s="78"/>
      <c r="E82" s="9"/>
      <c r="F82" s="2"/>
      <c r="G82" s="2"/>
      <c r="H82" s="2"/>
      <c r="I82" s="2"/>
      <c r="J82" s="2"/>
      <c r="K82" s="2"/>
      <c r="L82" s="2"/>
      <c r="M82" s="2"/>
      <c r="N82" s="2"/>
      <c r="O82" s="2"/>
      <c r="P82" s="2"/>
      <c r="Q82" s="2"/>
      <c r="R82" s="2"/>
      <c r="S82" s="2"/>
      <c r="T82" s="2"/>
      <c r="U82" s="2"/>
      <c r="V82" s="2"/>
      <c r="W82" s="2"/>
      <c r="X82" s="2"/>
      <c r="Y82" s="2"/>
      <c r="Z82" s="2"/>
    </row>
    <row r="83" spans="1:26" ht="13.5" customHeight="1" x14ac:dyDescent="0.35">
      <c r="A83" s="9"/>
      <c r="B83" s="76"/>
      <c r="C83" s="9"/>
      <c r="D83" s="78"/>
      <c r="E83" s="9"/>
      <c r="F83" s="2"/>
      <c r="G83" s="2"/>
      <c r="H83" s="2"/>
      <c r="I83" s="2"/>
      <c r="J83" s="2"/>
      <c r="K83" s="2"/>
      <c r="L83" s="2"/>
      <c r="M83" s="2"/>
      <c r="N83" s="2"/>
      <c r="O83" s="2"/>
      <c r="P83" s="2"/>
      <c r="Q83" s="2"/>
      <c r="R83" s="2"/>
      <c r="S83" s="2"/>
      <c r="T83" s="2"/>
      <c r="U83" s="2"/>
      <c r="V83" s="2"/>
      <c r="W83" s="2"/>
      <c r="X83" s="2"/>
      <c r="Y83" s="2"/>
      <c r="Z83" s="2"/>
    </row>
    <row r="84" spans="1:26" ht="13.5" customHeight="1" x14ac:dyDescent="0.35">
      <c r="A84" s="9"/>
      <c r="B84" s="76"/>
      <c r="C84" s="9"/>
      <c r="D84" s="78"/>
      <c r="E84" s="9"/>
      <c r="F84" s="2"/>
      <c r="G84" s="2"/>
      <c r="H84" s="2"/>
      <c r="I84" s="2"/>
      <c r="J84" s="2"/>
      <c r="K84" s="2"/>
      <c r="L84" s="2"/>
      <c r="M84" s="2"/>
      <c r="N84" s="2"/>
      <c r="O84" s="2"/>
      <c r="P84" s="2"/>
      <c r="Q84" s="2"/>
      <c r="R84" s="2"/>
      <c r="S84" s="2"/>
      <c r="T84" s="2"/>
      <c r="U84" s="2"/>
      <c r="V84" s="2"/>
      <c r="W84" s="2"/>
      <c r="X84" s="2"/>
      <c r="Y84" s="2"/>
      <c r="Z84" s="2"/>
    </row>
    <row r="85" spans="1:26" ht="13.5" customHeight="1" x14ac:dyDescent="0.35">
      <c r="A85" s="9"/>
      <c r="B85" s="76"/>
      <c r="C85" s="9"/>
      <c r="D85" s="78"/>
      <c r="E85" s="9"/>
      <c r="F85" s="2"/>
      <c r="G85" s="2"/>
      <c r="H85" s="2"/>
      <c r="I85" s="2"/>
      <c r="J85" s="2"/>
      <c r="K85" s="2"/>
      <c r="L85" s="2"/>
      <c r="M85" s="2"/>
      <c r="N85" s="2"/>
      <c r="O85" s="2"/>
      <c r="P85" s="2"/>
      <c r="Q85" s="2"/>
      <c r="R85" s="2"/>
      <c r="S85" s="2"/>
      <c r="T85" s="2"/>
      <c r="U85" s="2"/>
      <c r="V85" s="2"/>
      <c r="W85" s="2"/>
      <c r="X85" s="2"/>
      <c r="Y85" s="2"/>
      <c r="Z85" s="2"/>
    </row>
    <row r="86" spans="1:26" ht="13.5" customHeight="1" x14ac:dyDescent="0.35">
      <c r="A86" s="9"/>
      <c r="B86" s="76"/>
      <c r="C86" s="9"/>
      <c r="D86" s="78"/>
      <c r="E86" s="9"/>
      <c r="F86" s="2"/>
      <c r="G86" s="2"/>
      <c r="H86" s="2"/>
      <c r="I86" s="2"/>
      <c r="J86" s="2"/>
      <c r="K86" s="2"/>
      <c r="L86" s="2"/>
      <c r="M86" s="2"/>
      <c r="N86" s="2"/>
      <c r="O86" s="2"/>
      <c r="P86" s="2"/>
      <c r="Q86" s="2"/>
      <c r="R86" s="2"/>
      <c r="S86" s="2"/>
      <c r="T86" s="2"/>
      <c r="U86" s="2"/>
      <c r="V86" s="2"/>
      <c r="W86" s="2"/>
      <c r="X86" s="2"/>
      <c r="Y86" s="2"/>
      <c r="Z86" s="2"/>
    </row>
    <row r="87" spans="1:26" ht="13.5" customHeight="1" x14ac:dyDescent="0.35">
      <c r="A87" s="9"/>
      <c r="B87" s="76"/>
      <c r="C87" s="9"/>
      <c r="D87" s="78"/>
      <c r="E87" s="9"/>
      <c r="F87" s="2"/>
      <c r="G87" s="2"/>
      <c r="H87" s="2"/>
      <c r="I87" s="2"/>
      <c r="J87" s="2"/>
      <c r="K87" s="2"/>
      <c r="L87" s="2"/>
      <c r="M87" s="2"/>
      <c r="N87" s="2"/>
      <c r="O87" s="2"/>
      <c r="P87" s="2"/>
      <c r="Q87" s="2"/>
      <c r="R87" s="2"/>
      <c r="S87" s="2"/>
      <c r="T87" s="2"/>
      <c r="U87" s="2"/>
      <c r="V87" s="2"/>
      <c r="W87" s="2"/>
      <c r="X87" s="2"/>
      <c r="Y87" s="2"/>
      <c r="Z87" s="2"/>
    </row>
    <row r="88" spans="1:26" ht="13.5" customHeight="1" x14ac:dyDescent="0.35">
      <c r="A88" s="9"/>
      <c r="B88" s="76"/>
      <c r="C88" s="9"/>
      <c r="D88" s="78"/>
      <c r="E88" s="9"/>
      <c r="F88" s="2"/>
      <c r="G88" s="2"/>
      <c r="H88" s="2"/>
      <c r="I88" s="2"/>
      <c r="J88" s="2"/>
      <c r="K88" s="2"/>
      <c r="L88" s="2"/>
      <c r="M88" s="2"/>
      <c r="N88" s="2"/>
      <c r="O88" s="2"/>
      <c r="P88" s="2"/>
      <c r="Q88" s="2"/>
      <c r="R88" s="2"/>
      <c r="S88" s="2"/>
      <c r="T88" s="2"/>
      <c r="U88" s="2"/>
      <c r="V88" s="2"/>
      <c r="W88" s="2"/>
      <c r="X88" s="2"/>
      <c r="Y88" s="2"/>
      <c r="Z88" s="2"/>
    </row>
    <row r="89" spans="1:26" ht="13.5" customHeight="1" x14ac:dyDescent="0.35">
      <c r="A89" s="9"/>
      <c r="B89" s="76"/>
      <c r="C89" s="9"/>
      <c r="D89" s="78"/>
      <c r="E89" s="9"/>
      <c r="F89" s="2"/>
      <c r="G89" s="2"/>
      <c r="H89" s="2"/>
      <c r="I89" s="2"/>
      <c r="J89" s="2"/>
      <c r="K89" s="2"/>
      <c r="L89" s="2"/>
      <c r="M89" s="2"/>
      <c r="N89" s="2"/>
      <c r="O89" s="2"/>
      <c r="P89" s="2"/>
      <c r="Q89" s="2"/>
      <c r="R89" s="2"/>
      <c r="S89" s="2"/>
      <c r="T89" s="2"/>
      <c r="U89" s="2"/>
      <c r="V89" s="2"/>
      <c r="W89" s="2"/>
      <c r="X89" s="2"/>
      <c r="Y89" s="2"/>
      <c r="Z89" s="2"/>
    </row>
    <row r="90" spans="1:26" ht="13.5" customHeight="1" x14ac:dyDescent="0.35">
      <c r="A90" s="9"/>
      <c r="B90" s="76"/>
      <c r="C90" s="9"/>
      <c r="D90" s="78"/>
      <c r="E90" s="9"/>
      <c r="F90" s="2"/>
      <c r="G90" s="2"/>
      <c r="H90" s="2"/>
      <c r="I90" s="2"/>
      <c r="J90" s="2"/>
      <c r="K90" s="2"/>
      <c r="L90" s="2"/>
      <c r="M90" s="2"/>
      <c r="N90" s="2"/>
      <c r="O90" s="2"/>
      <c r="P90" s="2"/>
      <c r="Q90" s="2"/>
      <c r="R90" s="2"/>
      <c r="S90" s="2"/>
      <c r="T90" s="2"/>
      <c r="U90" s="2"/>
      <c r="V90" s="2"/>
      <c r="W90" s="2"/>
      <c r="X90" s="2"/>
      <c r="Y90" s="2"/>
      <c r="Z90" s="2"/>
    </row>
    <row r="91" spans="1:26" ht="13.5" customHeight="1" x14ac:dyDescent="0.35">
      <c r="A91" s="9"/>
      <c r="B91" s="76"/>
      <c r="C91" s="9"/>
      <c r="D91" s="78"/>
      <c r="E91" s="9"/>
      <c r="F91" s="2"/>
      <c r="G91" s="2"/>
      <c r="H91" s="2"/>
      <c r="I91" s="2"/>
      <c r="J91" s="2"/>
      <c r="K91" s="2"/>
      <c r="L91" s="2"/>
      <c r="M91" s="2"/>
      <c r="N91" s="2"/>
      <c r="O91" s="2"/>
      <c r="P91" s="2"/>
      <c r="Q91" s="2"/>
      <c r="R91" s="2"/>
      <c r="S91" s="2"/>
      <c r="T91" s="2"/>
      <c r="U91" s="2"/>
      <c r="V91" s="2"/>
      <c r="W91" s="2"/>
      <c r="X91" s="2"/>
      <c r="Y91" s="2"/>
      <c r="Z91" s="2"/>
    </row>
    <row r="92" spans="1:26" ht="13.5" customHeight="1" x14ac:dyDescent="0.35">
      <c r="A92" s="9"/>
      <c r="B92" s="76"/>
      <c r="C92" s="9"/>
      <c r="D92" s="78"/>
      <c r="E92" s="9"/>
      <c r="F92" s="2"/>
      <c r="G92" s="2"/>
      <c r="H92" s="2"/>
      <c r="I92" s="2"/>
      <c r="J92" s="2"/>
      <c r="K92" s="2"/>
      <c r="L92" s="2"/>
      <c r="M92" s="2"/>
      <c r="N92" s="2"/>
      <c r="O92" s="2"/>
      <c r="P92" s="2"/>
      <c r="Q92" s="2"/>
      <c r="R92" s="2"/>
      <c r="S92" s="2"/>
      <c r="T92" s="2"/>
      <c r="U92" s="2"/>
      <c r="V92" s="2"/>
      <c r="W92" s="2"/>
      <c r="X92" s="2"/>
      <c r="Y92" s="2"/>
      <c r="Z92" s="2"/>
    </row>
    <row r="93" spans="1:26" ht="13.5" customHeight="1" x14ac:dyDescent="0.35">
      <c r="A93" s="9"/>
      <c r="B93" s="76"/>
      <c r="C93" s="9"/>
      <c r="D93" s="78"/>
      <c r="E93" s="9"/>
      <c r="F93" s="2"/>
      <c r="G93" s="2"/>
      <c r="H93" s="2"/>
      <c r="I93" s="2"/>
      <c r="J93" s="2"/>
      <c r="K93" s="2"/>
      <c r="L93" s="2"/>
      <c r="M93" s="2"/>
      <c r="N93" s="2"/>
      <c r="O93" s="2"/>
      <c r="P93" s="2"/>
      <c r="Q93" s="2"/>
      <c r="R93" s="2"/>
      <c r="S93" s="2"/>
      <c r="T93" s="2"/>
      <c r="U93" s="2"/>
      <c r="V93" s="2"/>
      <c r="W93" s="2"/>
      <c r="X93" s="2"/>
      <c r="Y93" s="2"/>
      <c r="Z93" s="2"/>
    </row>
    <row r="94" spans="1:26" ht="13.5" customHeight="1" x14ac:dyDescent="0.35">
      <c r="A94" s="9"/>
      <c r="B94" s="76"/>
      <c r="C94" s="9"/>
      <c r="D94" s="78"/>
      <c r="E94" s="9"/>
      <c r="F94" s="2"/>
      <c r="G94" s="2"/>
      <c r="H94" s="2"/>
      <c r="I94" s="2"/>
      <c r="J94" s="2"/>
      <c r="K94" s="2"/>
      <c r="L94" s="2"/>
      <c r="M94" s="2"/>
      <c r="N94" s="2"/>
      <c r="O94" s="2"/>
      <c r="P94" s="2"/>
      <c r="Q94" s="2"/>
      <c r="R94" s="2"/>
      <c r="S94" s="2"/>
      <c r="T94" s="2"/>
      <c r="U94" s="2"/>
      <c r="V94" s="2"/>
      <c r="W94" s="2"/>
      <c r="X94" s="2"/>
      <c r="Y94" s="2"/>
      <c r="Z94" s="2"/>
    </row>
    <row r="95" spans="1:26" ht="13.5" customHeight="1" x14ac:dyDescent="0.35">
      <c r="A95" s="9"/>
      <c r="B95" s="76"/>
      <c r="C95" s="9"/>
      <c r="D95" s="78"/>
      <c r="E95" s="9"/>
      <c r="F95" s="2"/>
      <c r="G95" s="2"/>
      <c r="H95" s="2"/>
      <c r="I95" s="2"/>
      <c r="J95" s="2"/>
      <c r="K95" s="2"/>
      <c r="L95" s="2"/>
      <c r="M95" s="2"/>
      <c r="N95" s="2"/>
      <c r="O95" s="2"/>
      <c r="P95" s="2"/>
      <c r="Q95" s="2"/>
      <c r="R95" s="2"/>
      <c r="S95" s="2"/>
      <c r="T95" s="2"/>
      <c r="U95" s="2"/>
      <c r="V95" s="2"/>
      <c r="W95" s="2"/>
      <c r="X95" s="2"/>
      <c r="Y95" s="2"/>
      <c r="Z95" s="2"/>
    </row>
    <row r="96" spans="1:26" ht="13.5" customHeight="1" x14ac:dyDescent="0.35">
      <c r="A96" s="9"/>
      <c r="B96" s="76"/>
      <c r="C96" s="9"/>
      <c r="D96" s="78"/>
      <c r="E96" s="9"/>
      <c r="F96" s="2"/>
      <c r="G96" s="2"/>
      <c r="H96" s="2"/>
      <c r="I96" s="2"/>
      <c r="J96" s="2"/>
      <c r="K96" s="2"/>
      <c r="L96" s="2"/>
      <c r="M96" s="2"/>
      <c r="N96" s="2"/>
      <c r="O96" s="2"/>
      <c r="P96" s="2"/>
      <c r="Q96" s="2"/>
      <c r="R96" s="2"/>
      <c r="S96" s="2"/>
      <c r="T96" s="2"/>
      <c r="U96" s="2"/>
      <c r="V96" s="2"/>
      <c r="W96" s="2"/>
      <c r="X96" s="2"/>
      <c r="Y96" s="2"/>
      <c r="Z96" s="2"/>
    </row>
    <row r="97" spans="1:26" ht="13.5" customHeight="1" x14ac:dyDescent="0.35">
      <c r="A97" s="9"/>
      <c r="B97" s="76"/>
      <c r="C97" s="9"/>
      <c r="D97" s="78"/>
      <c r="E97" s="9"/>
      <c r="F97" s="2"/>
      <c r="G97" s="2"/>
      <c r="H97" s="2"/>
      <c r="I97" s="2"/>
      <c r="J97" s="2"/>
      <c r="K97" s="2"/>
      <c r="L97" s="2"/>
      <c r="M97" s="2"/>
      <c r="N97" s="2"/>
      <c r="O97" s="2"/>
      <c r="P97" s="2"/>
      <c r="Q97" s="2"/>
      <c r="R97" s="2"/>
      <c r="S97" s="2"/>
      <c r="T97" s="2"/>
      <c r="U97" s="2"/>
      <c r="V97" s="2"/>
      <c r="W97" s="2"/>
      <c r="X97" s="2"/>
      <c r="Y97" s="2"/>
      <c r="Z97" s="2"/>
    </row>
    <row r="98" spans="1:26" ht="13.5" customHeight="1" x14ac:dyDescent="0.35">
      <c r="A98" s="9"/>
      <c r="B98" s="76"/>
      <c r="C98" s="9"/>
      <c r="D98" s="78"/>
      <c r="E98" s="9"/>
      <c r="F98" s="2"/>
      <c r="G98" s="2"/>
      <c r="H98" s="2"/>
      <c r="I98" s="2"/>
      <c r="J98" s="2"/>
      <c r="K98" s="2"/>
      <c r="L98" s="2"/>
      <c r="M98" s="2"/>
      <c r="N98" s="2"/>
      <c r="O98" s="2"/>
      <c r="P98" s="2"/>
      <c r="Q98" s="2"/>
      <c r="R98" s="2"/>
      <c r="S98" s="2"/>
      <c r="T98" s="2"/>
      <c r="U98" s="2"/>
      <c r="V98" s="2"/>
      <c r="W98" s="2"/>
      <c r="X98" s="2"/>
      <c r="Y98" s="2"/>
      <c r="Z98" s="2"/>
    </row>
    <row r="99" spans="1:26" ht="13.5" customHeight="1" x14ac:dyDescent="0.35">
      <c r="A99" s="9"/>
      <c r="B99" s="76"/>
      <c r="C99" s="9"/>
      <c r="D99" s="78"/>
      <c r="E99" s="9"/>
      <c r="F99" s="2"/>
      <c r="G99" s="2"/>
      <c r="H99" s="2"/>
      <c r="I99" s="2"/>
      <c r="J99" s="2"/>
      <c r="K99" s="2"/>
      <c r="L99" s="2"/>
      <c r="M99" s="2"/>
      <c r="N99" s="2"/>
      <c r="O99" s="2"/>
      <c r="P99" s="2"/>
      <c r="Q99" s="2"/>
      <c r="R99" s="2"/>
      <c r="S99" s="2"/>
      <c r="T99" s="2"/>
      <c r="U99" s="2"/>
      <c r="V99" s="2"/>
      <c r="W99" s="2"/>
      <c r="X99" s="2"/>
      <c r="Y99" s="2"/>
      <c r="Z99" s="2"/>
    </row>
    <row r="100" spans="1:26" ht="13.5" customHeight="1" x14ac:dyDescent="0.35">
      <c r="A100" s="9"/>
      <c r="B100" s="76"/>
      <c r="C100" s="9"/>
      <c r="D100" s="78"/>
      <c r="E100" s="9"/>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5">
      <c r="A101" s="9"/>
      <c r="B101" s="76"/>
      <c r="C101" s="9"/>
      <c r="D101" s="78"/>
      <c r="E101" s="9"/>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5">
      <c r="A102" s="9"/>
      <c r="B102" s="76"/>
      <c r="C102" s="9"/>
      <c r="D102" s="78"/>
      <c r="E102" s="9"/>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5">
      <c r="A103" s="9"/>
      <c r="B103" s="76"/>
      <c r="C103" s="9"/>
      <c r="D103" s="78"/>
      <c r="E103" s="9"/>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5">
      <c r="A104" s="9"/>
      <c r="B104" s="76"/>
      <c r="C104" s="9"/>
      <c r="D104" s="78"/>
      <c r="E104" s="9"/>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5">
      <c r="A105" s="9"/>
      <c r="B105" s="76"/>
      <c r="C105" s="9"/>
      <c r="D105" s="78"/>
      <c r="E105" s="9"/>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5">
      <c r="A106" s="9"/>
      <c r="B106" s="76"/>
      <c r="C106" s="9"/>
      <c r="D106" s="78"/>
      <c r="E106" s="9"/>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5">
      <c r="A107" s="9"/>
      <c r="B107" s="76"/>
      <c r="C107" s="9"/>
      <c r="D107" s="78"/>
      <c r="E107" s="9"/>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5">
      <c r="A108" s="9"/>
      <c r="B108" s="76"/>
      <c r="C108" s="9"/>
      <c r="D108" s="78"/>
      <c r="E108" s="9"/>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5">
      <c r="A109" s="9"/>
      <c r="B109" s="76"/>
      <c r="C109" s="9"/>
      <c r="D109" s="78"/>
      <c r="E109" s="9"/>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5">
      <c r="A110" s="9"/>
      <c r="B110" s="76"/>
      <c r="C110" s="9"/>
      <c r="D110" s="78"/>
      <c r="E110" s="9"/>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5">
      <c r="A111" s="9"/>
      <c r="B111" s="76"/>
      <c r="C111" s="9"/>
      <c r="D111" s="78"/>
      <c r="E111" s="9"/>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5">
      <c r="A112" s="9"/>
      <c r="B112" s="76"/>
      <c r="C112" s="9"/>
      <c r="D112" s="78"/>
      <c r="E112" s="9"/>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5">
      <c r="A113" s="9"/>
      <c r="B113" s="76"/>
      <c r="C113" s="9"/>
      <c r="D113" s="78"/>
      <c r="E113" s="9"/>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5">
      <c r="A114" s="9"/>
      <c r="B114" s="76"/>
      <c r="C114" s="9"/>
      <c r="D114" s="78"/>
      <c r="E114" s="9"/>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5">
      <c r="A115" s="9"/>
      <c r="B115" s="76"/>
      <c r="C115" s="9"/>
      <c r="D115" s="78"/>
      <c r="E115" s="9"/>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5">
      <c r="A116" s="9"/>
      <c r="B116" s="76"/>
      <c r="C116" s="9"/>
      <c r="D116" s="78"/>
      <c r="E116" s="9"/>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5">
      <c r="A117" s="9"/>
      <c r="B117" s="76"/>
      <c r="C117" s="9"/>
      <c r="D117" s="78"/>
      <c r="E117" s="9"/>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5">
      <c r="A118" s="9"/>
      <c r="B118" s="76"/>
      <c r="C118" s="9"/>
      <c r="D118" s="78"/>
      <c r="E118" s="9"/>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5">
      <c r="A119" s="9"/>
      <c r="B119" s="76"/>
      <c r="C119" s="9"/>
      <c r="D119" s="78"/>
      <c r="E119" s="9"/>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5">
      <c r="A120" s="9"/>
      <c r="B120" s="76"/>
      <c r="C120" s="9"/>
      <c r="D120" s="78"/>
      <c r="E120" s="9"/>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5">
      <c r="A121" s="9"/>
      <c r="B121" s="76"/>
      <c r="C121" s="9"/>
      <c r="D121" s="78"/>
      <c r="E121" s="9"/>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5">
      <c r="A122" s="9"/>
      <c r="B122" s="76"/>
      <c r="C122" s="9"/>
      <c r="D122" s="78"/>
      <c r="E122" s="9"/>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5">
      <c r="A123" s="9"/>
      <c r="B123" s="76"/>
      <c r="C123" s="9"/>
      <c r="D123" s="78"/>
      <c r="E123" s="9"/>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5">
      <c r="A124" s="9"/>
      <c r="B124" s="76"/>
      <c r="C124" s="9"/>
      <c r="D124" s="78"/>
      <c r="E124" s="9"/>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5">
      <c r="A125" s="9"/>
      <c r="B125" s="76"/>
      <c r="C125" s="9"/>
      <c r="D125" s="78"/>
      <c r="E125" s="9"/>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5">
      <c r="A126" s="9"/>
      <c r="B126" s="76"/>
      <c r="C126" s="9"/>
      <c r="D126" s="78"/>
      <c r="E126" s="9"/>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5">
      <c r="A127" s="9"/>
      <c r="B127" s="76"/>
      <c r="C127" s="9"/>
      <c r="D127" s="78"/>
      <c r="E127" s="9"/>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5">
      <c r="A128" s="9"/>
      <c r="B128" s="76"/>
      <c r="C128" s="9"/>
      <c r="D128" s="78"/>
      <c r="E128" s="9"/>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5">
      <c r="A129" s="9"/>
      <c r="B129" s="76"/>
      <c r="C129" s="9"/>
      <c r="D129" s="78"/>
      <c r="E129" s="9"/>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5">
      <c r="A130" s="9"/>
      <c r="B130" s="76"/>
      <c r="C130" s="9"/>
      <c r="D130" s="78"/>
      <c r="E130" s="9"/>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5">
      <c r="A131" s="9"/>
      <c r="B131" s="76"/>
      <c r="C131" s="9"/>
      <c r="D131" s="78"/>
      <c r="E131" s="9"/>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5">
      <c r="A132" s="9"/>
      <c r="B132" s="76"/>
      <c r="C132" s="9"/>
      <c r="D132" s="78"/>
      <c r="E132" s="9"/>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5">
      <c r="A133" s="9"/>
      <c r="B133" s="76"/>
      <c r="C133" s="9"/>
      <c r="D133" s="78"/>
      <c r="E133" s="9"/>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5">
      <c r="A134" s="9"/>
      <c r="B134" s="76"/>
      <c r="C134" s="9"/>
      <c r="D134" s="78"/>
      <c r="E134" s="9"/>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5">
      <c r="A135" s="9"/>
      <c r="B135" s="76"/>
      <c r="C135" s="9"/>
      <c r="D135" s="78"/>
      <c r="E135" s="9"/>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5">
      <c r="A136" s="9"/>
      <c r="B136" s="76"/>
      <c r="C136" s="9"/>
      <c r="D136" s="78"/>
      <c r="E136" s="9"/>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5">
      <c r="A137" s="9"/>
      <c r="B137" s="76"/>
      <c r="C137" s="9"/>
      <c r="D137" s="78"/>
      <c r="E137" s="9"/>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5">
      <c r="A138" s="9"/>
      <c r="B138" s="76"/>
      <c r="C138" s="9"/>
      <c r="D138" s="78"/>
      <c r="E138" s="9"/>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5">
      <c r="A139" s="9"/>
      <c r="B139" s="76"/>
      <c r="C139" s="9"/>
      <c r="D139" s="78"/>
      <c r="E139" s="9"/>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5">
      <c r="A140" s="9"/>
      <c r="B140" s="76"/>
      <c r="C140" s="9"/>
      <c r="D140" s="78"/>
      <c r="E140" s="9"/>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5">
      <c r="A141" s="9"/>
      <c r="B141" s="76"/>
      <c r="C141" s="9"/>
      <c r="D141" s="78"/>
      <c r="E141" s="9"/>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5">
      <c r="A142" s="9"/>
      <c r="B142" s="76"/>
      <c r="C142" s="9"/>
      <c r="D142" s="78"/>
      <c r="E142" s="9"/>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5">
      <c r="A143" s="9"/>
      <c r="B143" s="76"/>
      <c r="C143" s="9"/>
      <c r="D143" s="78"/>
      <c r="E143" s="9"/>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5">
      <c r="A144" s="9"/>
      <c r="B144" s="76"/>
      <c r="C144" s="9"/>
      <c r="D144" s="78"/>
      <c r="E144" s="9"/>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5">
      <c r="A145" s="9"/>
      <c r="B145" s="76"/>
      <c r="C145" s="9"/>
      <c r="D145" s="78"/>
      <c r="E145" s="9"/>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5">
      <c r="A146" s="9"/>
      <c r="B146" s="76"/>
      <c r="C146" s="9"/>
      <c r="D146" s="78"/>
      <c r="E146" s="9"/>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5">
      <c r="A147" s="9"/>
      <c r="B147" s="76"/>
      <c r="C147" s="9"/>
      <c r="D147" s="78"/>
      <c r="E147" s="9"/>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5">
      <c r="A148" s="9"/>
      <c r="B148" s="76"/>
      <c r="C148" s="9"/>
      <c r="D148" s="78"/>
      <c r="E148" s="9"/>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5">
      <c r="A149" s="9"/>
      <c r="B149" s="76"/>
      <c r="C149" s="9"/>
      <c r="D149" s="78"/>
      <c r="E149" s="9"/>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5">
      <c r="A150" s="9"/>
      <c r="B150" s="76"/>
      <c r="C150" s="9"/>
      <c r="D150" s="78"/>
      <c r="E150" s="9"/>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5">
      <c r="A151" s="9"/>
      <c r="B151" s="76"/>
      <c r="C151" s="9"/>
      <c r="D151" s="78"/>
      <c r="E151" s="9"/>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5">
      <c r="A152" s="9"/>
      <c r="B152" s="76"/>
      <c r="C152" s="9"/>
      <c r="D152" s="78"/>
      <c r="E152" s="9"/>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5">
      <c r="A153" s="9"/>
      <c r="B153" s="76"/>
      <c r="C153" s="9"/>
      <c r="D153" s="78"/>
      <c r="E153" s="9"/>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5">
      <c r="A154" s="9"/>
      <c r="B154" s="76"/>
      <c r="C154" s="9"/>
      <c r="D154" s="78"/>
      <c r="E154" s="9"/>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5">
      <c r="A155" s="9"/>
      <c r="B155" s="76"/>
      <c r="C155" s="9"/>
      <c r="D155" s="78"/>
      <c r="E155" s="9"/>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5">
      <c r="A156" s="9"/>
      <c r="B156" s="76"/>
      <c r="C156" s="9"/>
      <c r="D156" s="78"/>
      <c r="E156" s="9"/>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5">
      <c r="A157" s="9"/>
      <c r="B157" s="80"/>
      <c r="C157" s="20"/>
      <c r="D157" s="21"/>
      <c r="E157" s="20"/>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5">
      <c r="A158" s="9"/>
      <c r="B158" s="80"/>
      <c r="C158" s="20"/>
      <c r="D158" s="21"/>
      <c r="E158" s="20"/>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5">
      <c r="A159" s="9"/>
      <c r="B159" s="80"/>
      <c r="C159" s="20"/>
      <c r="D159" s="21"/>
      <c r="E159" s="20"/>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5">
      <c r="A160" s="9"/>
      <c r="B160" s="80"/>
      <c r="C160" s="20"/>
      <c r="D160" s="21"/>
      <c r="E160" s="20"/>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5">
      <c r="A161" s="9"/>
      <c r="B161" s="80"/>
      <c r="C161" s="20"/>
      <c r="D161" s="21"/>
      <c r="E161" s="20"/>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5">
      <c r="A162" s="9"/>
      <c r="B162" s="80"/>
      <c r="C162" s="20"/>
      <c r="D162" s="21"/>
      <c r="E162" s="20"/>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5">
      <c r="A163" s="9"/>
      <c r="B163" s="80"/>
      <c r="C163" s="20"/>
      <c r="D163" s="21"/>
      <c r="E163" s="20"/>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5">
      <c r="A164" s="9"/>
      <c r="B164" s="80"/>
      <c r="C164" s="20"/>
      <c r="D164" s="21"/>
      <c r="E164" s="20"/>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5">
      <c r="A165" s="9"/>
      <c r="B165" s="80"/>
      <c r="C165" s="20"/>
      <c r="D165" s="21"/>
      <c r="E165" s="20"/>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5">
      <c r="A166" s="9"/>
      <c r="B166" s="80"/>
      <c r="C166" s="20"/>
      <c r="D166" s="21"/>
      <c r="E166" s="20"/>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5">
      <c r="A167" s="9"/>
      <c r="B167" s="80"/>
      <c r="C167" s="20"/>
      <c r="D167" s="21"/>
      <c r="E167" s="20"/>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5">
      <c r="A168" s="9"/>
      <c r="B168" s="80"/>
      <c r="C168" s="20"/>
      <c r="D168" s="21"/>
      <c r="E168" s="20"/>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5">
      <c r="A169" s="9"/>
      <c r="B169" s="80"/>
      <c r="C169" s="20"/>
      <c r="D169" s="21"/>
      <c r="E169" s="20"/>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5">
      <c r="A170" s="9"/>
      <c r="B170" s="80"/>
      <c r="C170" s="20"/>
      <c r="D170" s="21"/>
      <c r="E170" s="20"/>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5">
      <c r="A171" s="9"/>
      <c r="B171" s="80"/>
      <c r="C171" s="20"/>
      <c r="D171" s="21"/>
      <c r="E171" s="20"/>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5">
      <c r="A172" s="9"/>
      <c r="B172" s="80"/>
      <c r="C172" s="20"/>
      <c r="D172" s="21"/>
      <c r="E172" s="20"/>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5">
      <c r="A173" s="9"/>
      <c r="B173" s="80"/>
      <c r="C173" s="20"/>
      <c r="D173" s="21"/>
      <c r="E173" s="20"/>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5">
      <c r="A174" s="9"/>
      <c r="B174" s="80"/>
      <c r="C174" s="20"/>
      <c r="D174" s="21"/>
      <c r="E174" s="20"/>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5">
      <c r="A175" s="9"/>
      <c r="B175" s="80"/>
      <c r="C175" s="20"/>
      <c r="D175" s="21"/>
      <c r="E175" s="20"/>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5">
      <c r="A176" s="9"/>
      <c r="B176" s="80"/>
      <c r="C176" s="20"/>
      <c r="D176" s="21"/>
      <c r="E176" s="20"/>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5">
      <c r="A177" s="9"/>
      <c r="B177" s="80"/>
      <c r="C177" s="20"/>
      <c r="D177" s="21"/>
      <c r="E177" s="20"/>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5">
      <c r="A178" s="9"/>
      <c r="B178" s="80"/>
      <c r="C178" s="20"/>
      <c r="D178" s="21"/>
      <c r="E178" s="20"/>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5">
      <c r="A179" s="9"/>
      <c r="B179" s="80"/>
      <c r="C179" s="20"/>
      <c r="D179" s="21"/>
      <c r="E179" s="20"/>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5">
      <c r="A180" s="9"/>
      <c r="B180" s="80"/>
      <c r="C180" s="20"/>
      <c r="D180" s="21"/>
      <c r="E180" s="20"/>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5">
      <c r="A181" s="9"/>
      <c r="B181" s="80"/>
      <c r="C181" s="20"/>
      <c r="D181" s="21"/>
      <c r="E181" s="20"/>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5">
      <c r="A182" s="9"/>
      <c r="B182" s="80"/>
      <c r="C182" s="20"/>
      <c r="D182" s="21"/>
      <c r="E182" s="20"/>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5">
      <c r="A183" s="9"/>
      <c r="B183" s="80"/>
      <c r="C183" s="20"/>
      <c r="D183" s="21"/>
      <c r="E183" s="20"/>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5">
      <c r="A184" s="9"/>
      <c r="B184" s="80"/>
      <c r="C184" s="20"/>
      <c r="D184" s="21"/>
      <c r="E184" s="20"/>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5">
      <c r="A185" s="9"/>
      <c r="B185" s="80"/>
      <c r="C185" s="20"/>
      <c r="D185" s="21"/>
      <c r="E185" s="20"/>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5">
      <c r="A186" s="9"/>
      <c r="B186" s="80"/>
      <c r="C186" s="20"/>
      <c r="D186" s="21"/>
      <c r="E186" s="20"/>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5">
      <c r="A187" s="9"/>
      <c r="B187" s="80"/>
      <c r="C187" s="20"/>
      <c r="D187" s="21"/>
      <c r="E187" s="20"/>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5">
      <c r="A188" s="9"/>
      <c r="B188" s="80"/>
      <c r="C188" s="20"/>
      <c r="D188" s="21"/>
      <c r="E188" s="20"/>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5">
      <c r="A189" s="9"/>
      <c r="B189" s="80"/>
      <c r="C189" s="20"/>
      <c r="D189" s="21"/>
      <c r="E189" s="20"/>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5">
      <c r="A190" s="9"/>
      <c r="B190" s="80"/>
      <c r="C190" s="20"/>
      <c r="D190" s="21"/>
      <c r="E190" s="20"/>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5">
      <c r="A191" s="9"/>
      <c r="B191" s="80"/>
      <c r="C191" s="20"/>
      <c r="D191" s="21"/>
      <c r="E191" s="20"/>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5">
      <c r="A192" s="9"/>
      <c r="B192" s="80"/>
      <c r="C192" s="20"/>
      <c r="D192" s="21"/>
      <c r="E192" s="20"/>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5">
      <c r="A193" s="9"/>
      <c r="B193" s="80"/>
      <c r="C193" s="20"/>
      <c r="D193" s="21"/>
      <c r="E193" s="20"/>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5">
      <c r="A194" s="9"/>
      <c r="B194" s="80"/>
      <c r="C194" s="20"/>
      <c r="D194" s="21"/>
      <c r="E194" s="20"/>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5">
      <c r="A195" s="9"/>
      <c r="B195" s="80"/>
      <c r="C195" s="20"/>
      <c r="D195" s="21"/>
      <c r="E195" s="20"/>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5">
      <c r="A196" s="9"/>
      <c r="B196" s="80"/>
      <c r="C196" s="20"/>
      <c r="D196" s="21"/>
      <c r="E196" s="20"/>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5">
      <c r="A197" s="9"/>
      <c r="B197" s="80"/>
      <c r="C197" s="20"/>
      <c r="D197" s="21"/>
      <c r="E197" s="20"/>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5">
      <c r="A198" s="9"/>
      <c r="B198" s="80"/>
      <c r="C198" s="20"/>
      <c r="D198" s="21"/>
      <c r="E198" s="20"/>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5">
      <c r="A199" s="9"/>
      <c r="B199" s="80"/>
      <c r="C199" s="20"/>
      <c r="D199" s="21"/>
      <c r="E199" s="20"/>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5">
      <c r="A200" s="9"/>
      <c r="B200" s="80"/>
      <c r="C200" s="20"/>
      <c r="D200" s="21"/>
      <c r="E200" s="20"/>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5">
      <c r="A201" s="9"/>
      <c r="B201" s="80"/>
      <c r="C201" s="20"/>
      <c r="D201" s="21"/>
      <c r="E201" s="20"/>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5">
      <c r="A202" s="9"/>
      <c r="B202" s="80"/>
      <c r="C202" s="20"/>
      <c r="D202" s="21"/>
      <c r="E202" s="20"/>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5">
      <c r="A203" s="9"/>
      <c r="B203" s="80"/>
      <c r="C203" s="20"/>
      <c r="D203" s="21"/>
      <c r="E203" s="20"/>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5">
      <c r="A204" s="9"/>
      <c r="B204" s="80"/>
      <c r="C204" s="20"/>
      <c r="D204" s="21"/>
      <c r="E204" s="20"/>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5">
      <c r="A205" s="9"/>
      <c r="B205" s="80"/>
      <c r="C205" s="20"/>
      <c r="D205" s="21"/>
      <c r="E205" s="20"/>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5">
      <c r="A206" s="9"/>
      <c r="B206" s="80"/>
      <c r="C206" s="20"/>
      <c r="D206" s="21"/>
      <c r="E206" s="20"/>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5">
      <c r="A207" s="9"/>
      <c r="B207" s="80"/>
      <c r="C207" s="20"/>
      <c r="D207" s="21"/>
      <c r="E207" s="20"/>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5">
      <c r="A208" s="9"/>
      <c r="B208" s="80"/>
      <c r="C208" s="20"/>
      <c r="D208" s="21"/>
      <c r="E208" s="20"/>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5">
      <c r="A209" s="9"/>
      <c r="B209" s="80"/>
      <c r="C209" s="20"/>
      <c r="D209" s="21"/>
      <c r="E209" s="20"/>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5">
      <c r="A210" s="9"/>
      <c r="B210" s="80"/>
      <c r="C210" s="20"/>
      <c r="D210" s="21"/>
      <c r="E210" s="20"/>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5">
      <c r="A211" s="9"/>
      <c r="B211" s="80"/>
      <c r="C211" s="20"/>
      <c r="D211" s="21"/>
      <c r="E211" s="20"/>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5">
      <c r="A212" s="9"/>
      <c r="B212" s="80"/>
      <c r="C212" s="20"/>
      <c r="D212" s="21"/>
      <c r="E212" s="20"/>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5">
      <c r="A213" s="9"/>
      <c r="B213" s="80"/>
      <c r="C213" s="20"/>
      <c r="D213" s="21"/>
      <c r="E213" s="20"/>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5">
      <c r="A214" s="9"/>
      <c r="B214" s="80"/>
      <c r="C214" s="20"/>
      <c r="D214" s="21"/>
      <c r="E214" s="20"/>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5">
      <c r="A215" s="9"/>
      <c r="B215" s="80"/>
      <c r="C215" s="20"/>
      <c r="D215" s="21"/>
      <c r="E215" s="20"/>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5">
      <c r="A216" s="9"/>
      <c r="B216" s="80"/>
      <c r="C216" s="20"/>
      <c r="D216" s="21"/>
      <c r="E216" s="20"/>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5">
      <c r="A217" s="9"/>
      <c r="B217" s="80"/>
      <c r="C217" s="20"/>
      <c r="D217" s="21"/>
      <c r="E217" s="20"/>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5">
      <c r="A218" s="9"/>
      <c r="B218" s="80"/>
      <c r="C218" s="20"/>
      <c r="D218" s="21"/>
      <c r="E218" s="20"/>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5">
      <c r="A219" s="9"/>
      <c r="B219" s="80"/>
      <c r="C219" s="20"/>
      <c r="D219" s="21"/>
      <c r="E219" s="20"/>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5">
      <c r="A220" s="9"/>
      <c r="B220" s="80"/>
      <c r="C220" s="20"/>
      <c r="D220" s="21"/>
      <c r="E220" s="20"/>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5">
      <c r="A221" s="9"/>
      <c r="B221" s="80"/>
      <c r="C221" s="20"/>
      <c r="D221" s="21"/>
      <c r="E221" s="20"/>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5">
      <c r="A222" s="9"/>
      <c r="B222" s="80"/>
      <c r="C222" s="20"/>
      <c r="D222" s="21"/>
      <c r="E222" s="20"/>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5">
      <c r="A223" s="9"/>
      <c r="B223" s="80"/>
      <c r="C223" s="20"/>
      <c r="D223" s="21"/>
      <c r="E223" s="20"/>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5">
      <c r="A224" s="9"/>
      <c r="B224" s="80"/>
      <c r="C224" s="20"/>
      <c r="D224" s="21"/>
      <c r="E224" s="20"/>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5">
      <c r="A225" s="9"/>
      <c r="B225" s="80"/>
      <c r="C225" s="20"/>
      <c r="D225" s="21"/>
      <c r="E225" s="20"/>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5">
      <c r="A226" s="9"/>
      <c r="B226" s="80"/>
      <c r="C226" s="20"/>
      <c r="D226" s="21"/>
      <c r="E226" s="20"/>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5">
      <c r="A227" s="9"/>
      <c r="B227" s="80"/>
      <c r="C227" s="20"/>
      <c r="D227" s="21"/>
      <c r="E227" s="20"/>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5">
      <c r="A228" s="9"/>
      <c r="B228" s="80"/>
      <c r="C228" s="20"/>
      <c r="D228" s="21"/>
      <c r="E228" s="20"/>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5">
      <c r="A229" s="9"/>
      <c r="B229" s="81"/>
      <c r="C229" s="20"/>
      <c r="D229" s="21"/>
      <c r="E229" s="20"/>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5">
      <c r="A230" s="9"/>
      <c r="B230" s="81"/>
      <c r="C230" s="20"/>
      <c r="D230" s="21"/>
      <c r="E230" s="20"/>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5">
      <c r="A231" s="9"/>
      <c r="B231" s="81"/>
      <c r="C231" s="20"/>
      <c r="D231" s="21"/>
      <c r="E231" s="20"/>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5">
      <c r="A232" s="9"/>
      <c r="B232" s="81"/>
      <c r="C232" s="20"/>
      <c r="D232" s="21"/>
      <c r="E232" s="20"/>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5">
      <c r="A233" s="9"/>
      <c r="B233" s="81"/>
      <c r="C233" s="20"/>
      <c r="D233" s="21"/>
      <c r="E233" s="20"/>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5">
      <c r="A234" s="9"/>
      <c r="B234" s="81"/>
      <c r="C234" s="20"/>
      <c r="D234" s="21"/>
      <c r="E234" s="20"/>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5">
      <c r="A235" s="9"/>
      <c r="B235" s="81"/>
      <c r="C235" s="20"/>
      <c r="D235" s="21"/>
      <c r="E235" s="20"/>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5">
      <c r="A236" s="9"/>
      <c r="B236" s="81"/>
      <c r="C236" s="20"/>
      <c r="D236" s="21"/>
      <c r="E236" s="20"/>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5">
      <c r="A237" s="9"/>
      <c r="B237" s="81"/>
      <c r="C237" s="20"/>
      <c r="D237" s="21"/>
      <c r="E237" s="20"/>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5">
      <c r="A238" s="9"/>
      <c r="B238" s="81"/>
      <c r="C238" s="20"/>
      <c r="D238" s="21"/>
      <c r="E238" s="20"/>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5">
      <c r="A239" s="9"/>
      <c r="B239" s="81"/>
      <c r="C239" s="20"/>
      <c r="D239" s="21"/>
      <c r="E239" s="20"/>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5">
      <c r="A240" s="9"/>
      <c r="B240" s="81"/>
      <c r="C240" s="20"/>
      <c r="D240" s="21"/>
      <c r="E240" s="20"/>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5">
      <c r="A241" s="9"/>
      <c r="B241" s="81"/>
      <c r="C241" s="20"/>
      <c r="D241" s="21"/>
      <c r="E241" s="20"/>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5">
      <c r="A242" s="9"/>
      <c r="B242" s="81"/>
      <c r="C242" s="20"/>
      <c r="D242" s="21"/>
      <c r="E242" s="20"/>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5">
      <c r="A243" s="9"/>
      <c r="B243" s="81"/>
      <c r="C243" s="20"/>
      <c r="D243" s="21"/>
      <c r="E243" s="20"/>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5">
      <c r="A244" s="9"/>
      <c r="B244" s="81"/>
      <c r="C244" s="20"/>
      <c r="D244" s="21"/>
      <c r="E244" s="20"/>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5">
      <c r="A245" s="9"/>
      <c r="B245" s="81"/>
      <c r="C245" s="20"/>
      <c r="D245" s="21"/>
      <c r="E245" s="20"/>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5">
      <c r="A246" s="9"/>
      <c r="B246" s="81"/>
      <c r="C246" s="20"/>
      <c r="D246" s="21"/>
      <c r="E246" s="20"/>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5">
      <c r="A247" s="9"/>
      <c r="B247" s="81"/>
      <c r="C247" s="20"/>
      <c r="D247" s="21"/>
      <c r="E247" s="20"/>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5">
      <c r="A248" s="9"/>
      <c r="B248" s="81"/>
      <c r="C248" s="20"/>
      <c r="D248" s="21"/>
      <c r="E248" s="20"/>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5">
      <c r="A249" s="9"/>
      <c r="B249" s="81"/>
      <c r="C249" s="20"/>
      <c r="D249" s="21"/>
      <c r="E249" s="20"/>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5">
      <c r="A250" s="9"/>
      <c r="B250" s="81"/>
      <c r="C250" s="20"/>
      <c r="D250" s="21"/>
      <c r="E250" s="20"/>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5">
      <c r="A251" s="9"/>
      <c r="B251" s="81"/>
      <c r="C251" s="20"/>
      <c r="D251" s="21"/>
      <c r="E251" s="20"/>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5">
      <c r="A252" s="9"/>
      <c r="B252" s="81"/>
      <c r="C252" s="20"/>
      <c r="D252" s="21"/>
      <c r="E252" s="20"/>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5">
      <c r="A253" s="9"/>
      <c r="B253" s="81"/>
      <c r="C253" s="20"/>
      <c r="D253" s="21"/>
      <c r="E253" s="20"/>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5">
      <c r="A254" s="9"/>
      <c r="B254" s="81"/>
      <c r="C254" s="20"/>
      <c r="D254" s="21"/>
      <c r="E254" s="20"/>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5">
      <c r="A255" s="9"/>
      <c r="B255" s="81"/>
      <c r="C255" s="20"/>
      <c r="D255" s="21"/>
      <c r="E255" s="20"/>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5">
      <c r="A256" s="9"/>
      <c r="B256" s="82"/>
      <c r="C256" s="20"/>
      <c r="D256" s="20"/>
      <c r="E256" s="20"/>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5">
      <c r="A257" s="9"/>
      <c r="B257" s="82"/>
      <c r="C257" s="20"/>
      <c r="D257" s="20"/>
      <c r="E257" s="20"/>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5">
      <c r="A258" s="9"/>
      <c r="B258" s="82"/>
      <c r="C258" s="20"/>
      <c r="D258" s="20"/>
      <c r="E258" s="20"/>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5">
      <c r="A259" s="9"/>
      <c r="B259" s="82"/>
      <c r="C259" s="20"/>
      <c r="D259" s="20"/>
      <c r="E259" s="20"/>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5">
      <c r="A260" s="9"/>
      <c r="B260" s="82"/>
      <c r="C260" s="20"/>
      <c r="D260" s="20"/>
      <c r="E260" s="20"/>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5">
      <c r="A261" s="9"/>
      <c r="B261" s="82"/>
      <c r="C261" s="20"/>
      <c r="D261" s="20"/>
      <c r="E261" s="20"/>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5">
      <c r="A262" s="9"/>
      <c r="B262" s="82"/>
      <c r="C262" s="20"/>
      <c r="D262" s="20"/>
      <c r="E262" s="20"/>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5">
      <c r="A263" s="9"/>
      <c r="B263" s="82"/>
      <c r="C263" s="20"/>
      <c r="D263" s="20"/>
      <c r="E263" s="20"/>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5">
      <c r="A264" s="9"/>
      <c r="B264" s="82"/>
      <c r="C264" s="20"/>
      <c r="D264" s="20"/>
      <c r="E264" s="20"/>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5">
      <c r="A265" s="9"/>
      <c r="B265" s="82"/>
      <c r="C265" s="20"/>
      <c r="D265" s="20"/>
      <c r="E265" s="20"/>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5">
      <c r="A266" s="9"/>
      <c r="B266" s="82"/>
      <c r="C266" s="20"/>
      <c r="D266" s="20"/>
      <c r="E266" s="20"/>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5">
      <c r="A267" s="9"/>
      <c r="B267" s="82"/>
      <c r="C267" s="20"/>
      <c r="D267" s="20"/>
      <c r="E267" s="20"/>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5">
      <c r="A268" s="9"/>
      <c r="B268" s="82"/>
      <c r="C268" s="20"/>
      <c r="D268" s="20"/>
      <c r="E268" s="20"/>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5">
      <c r="A269" s="9"/>
      <c r="B269" s="82"/>
      <c r="C269" s="20"/>
      <c r="D269" s="20"/>
      <c r="E269" s="20"/>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5">
      <c r="A270" s="9"/>
      <c r="B270" s="82"/>
      <c r="C270" s="20"/>
      <c r="D270" s="20"/>
      <c r="E270" s="20"/>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5">
      <c r="A271" s="9"/>
      <c r="B271" s="82"/>
      <c r="C271" s="20"/>
      <c r="D271" s="20"/>
      <c r="E271" s="20"/>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5">
      <c r="A272" s="9"/>
      <c r="B272" s="82"/>
      <c r="C272" s="20"/>
      <c r="D272" s="20"/>
      <c r="E272" s="20"/>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5">
      <c r="A273" s="9"/>
      <c r="B273" s="82"/>
      <c r="C273" s="20"/>
      <c r="D273" s="20"/>
      <c r="E273" s="20"/>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5">
      <c r="A274" s="9"/>
      <c r="B274" s="82"/>
      <c r="C274" s="20"/>
      <c r="D274" s="20"/>
      <c r="E274" s="20"/>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5">
      <c r="A275" s="9"/>
      <c r="B275" s="82"/>
      <c r="C275" s="20"/>
      <c r="D275" s="20"/>
      <c r="E275" s="20"/>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5">
      <c r="A276" s="9"/>
      <c r="B276" s="82"/>
      <c r="C276" s="20"/>
      <c r="D276" s="20"/>
      <c r="E276" s="20"/>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5">
      <c r="A277" s="9"/>
      <c r="B277" s="82"/>
      <c r="C277" s="20"/>
      <c r="D277" s="20"/>
      <c r="E277" s="20"/>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5">
      <c r="A278" s="9"/>
      <c r="B278" s="82"/>
      <c r="C278" s="20"/>
      <c r="D278" s="20"/>
      <c r="E278" s="20"/>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5">
      <c r="A279" s="9"/>
      <c r="B279" s="82"/>
      <c r="C279" s="20"/>
      <c r="D279" s="20"/>
      <c r="E279" s="20"/>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5">
      <c r="A280" s="9"/>
      <c r="B280" s="82"/>
      <c r="C280" s="20"/>
      <c r="D280" s="20"/>
      <c r="E280" s="20"/>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5">
      <c r="A281" s="9"/>
      <c r="B281" s="82"/>
      <c r="C281" s="20"/>
      <c r="D281" s="20"/>
      <c r="E281" s="20"/>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5">
      <c r="A282" s="9"/>
      <c r="B282" s="82"/>
      <c r="C282" s="20"/>
      <c r="D282" s="20"/>
      <c r="E282" s="20"/>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5">
      <c r="A283" s="9"/>
      <c r="B283" s="82"/>
      <c r="C283" s="20"/>
      <c r="D283" s="20"/>
      <c r="E283" s="20"/>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5">
      <c r="A284" s="9"/>
      <c r="B284" s="82"/>
      <c r="C284" s="20"/>
      <c r="D284" s="20"/>
      <c r="E284" s="20"/>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5">
      <c r="A285" s="9"/>
      <c r="B285" s="82"/>
      <c r="C285" s="20"/>
      <c r="D285" s="20"/>
      <c r="E285" s="20"/>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5">
      <c r="A286" s="9"/>
      <c r="B286" s="82"/>
      <c r="C286" s="20"/>
      <c r="D286" s="20"/>
      <c r="E286" s="20"/>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5">
      <c r="A287" s="9"/>
      <c r="B287" s="82"/>
      <c r="C287" s="20"/>
      <c r="D287" s="20"/>
      <c r="E287" s="20"/>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5">
      <c r="A288" s="9"/>
      <c r="B288" s="82"/>
      <c r="C288" s="20"/>
      <c r="D288" s="20"/>
      <c r="E288" s="20"/>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5">
      <c r="A289" s="9"/>
      <c r="B289" s="82"/>
      <c r="C289" s="20"/>
      <c r="D289" s="20"/>
      <c r="E289" s="20"/>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5">
      <c r="A290" s="9"/>
      <c r="B290" s="82"/>
      <c r="C290" s="20"/>
      <c r="D290" s="20"/>
      <c r="E290" s="20"/>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5">
      <c r="A291" s="9"/>
      <c r="B291" s="82"/>
      <c r="C291" s="20"/>
      <c r="D291" s="20"/>
      <c r="E291" s="20"/>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5">
      <c r="A292" s="9"/>
      <c r="B292" s="82"/>
      <c r="C292" s="20"/>
      <c r="D292" s="20"/>
      <c r="E292" s="20"/>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5">
      <c r="A293" s="9"/>
      <c r="B293" s="82"/>
      <c r="C293" s="20"/>
      <c r="D293" s="20"/>
      <c r="E293" s="20"/>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5">
      <c r="A294" s="9"/>
      <c r="B294" s="82"/>
      <c r="C294" s="20"/>
      <c r="D294" s="20"/>
      <c r="E294" s="20"/>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5">
      <c r="A295" s="9"/>
      <c r="B295" s="82"/>
      <c r="C295" s="20"/>
      <c r="D295" s="20"/>
      <c r="E295" s="20"/>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5">
      <c r="A296" s="9"/>
      <c r="B296" s="82"/>
      <c r="C296" s="20"/>
      <c r="D296" s="20"/>
      <c r="E296" s="20"/>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5">
      <c r="A297" s="9"/>
      <c r="B297" s="82"/>
      <c r="C297" s="20"/>
      <c r="D297" s="20"/>
      <c r="E297" s="20"/>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5">
      <c r="A298" s="9"/>
      <c r="B298" s="82"/>
      <c r="C298" s="20"/>
      <c r="D298" s="20"/>
      <c r="E298" s="20"/>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5">
      <c r="A299" s="9"/>
      <c r="B299" s="82"/>
      <c r="C299" s="20"/>
      <c r="D299" s="20"/>
      <c r="E299" s="20"/>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5">
      <c r="A300" s="9"/>
      <c r="B300" s="82"/>
      <c r="C300" s="20"/>
      <c r="D300" s="20"/>
      <c r="E300" s="20"/>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5">
      <c r="A301" s="9"/>
      <c r="B301" s="82"/>
      <c r="C301" s="20"/>
      <c r="D301" s="20"/>
      <c r="E301" s="20"/>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5">
      <c r="A302" s="9"/>
      <c r="B302" s="82"/>
      <c r="C302" s="20"/>
      <c r="D302" s="20"/>
      <c r="E302" s="20"/>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5">
      <c r="A303" s="9"/>
      <c r="B303" s="82"/>
      <c r="C303" s="20"/>
      <c r="D303" s="20"/>
      <c r="E303" s="20"/>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5">
      <c r="A304" s="9"/>
      <c r="B304" s="82"/>
      <c r="C304" s="20"/>
      <c r="D304" s="20"/>
      <c r="E304" s="20"/>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5">
      <c r="A305" s="9"/>
      <c r="B305" s="82"/>
      <c r="C305" s="20"/>
      <c r="D305" s="20"/>
      <c r="E305" s="20"/>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5">
      <c r="A306" s="9"/>
      <c r="B306" s="82"/>
      <c r="C306" s="20"/>
      <c r="D306" s="20"/>
      <c r="E306" s="20"/>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5">
      <c r="A307" s="9"/>
      <c r="B307" s="82"/>
      <c r="C307" s="20"/>
      <c r="D307" s="20"/>
      <c r="E307" s="20"/>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5">
      <c r="A308" s="9"/>
      <c r="B308" s="82"/>
      <c r="C308" s="20"/>
      <c r="D308" s="20"/>
      <c r="E308" s="20"/>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5">
      <c r="A309" s="9"/>
      <c r="B309" s="82"/>
      <c r="C309" s="20"/>
      <c r="D309" s="20"/>
      <c r="E309" s="20"/>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5">
      <c r="A310" s="9"/>
      <c r="B310" s="82"/>
      <c r="C310" s="20"/>
      <c r="D310" s="20"/>
      <c r="E310" s="20"/>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5">
      <c r="A311" s="9"/>
      <c r="B311" s="82"/>
      <c r="C311" s="20"/>
      <c r="D311" s="20"/>
      <c r="E311" s="20"/>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5">
      <c r="A312" s="9"/>
      <c r="B312" s="82"/>
      <c r="C312" s="20"/>
      <c r="D312" s="20"/>
      <c r="E312" s="20"/>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5">
      <c r="A313" s="9"/>
      <c r="B313" s="82"/>
      <c r="C313" s="20"/>
      <c r="D313" s="20"/>
      <c r="E313" s="20"/>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5">
      <c r="A314" s="9"/>
      <c r="B314" s="82"/>
      <c r="C314" s="20"/>
      <c r="D314" s="20"/>
      <c r="E314" s="20"/>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5">
      <c r="A315" s="9"/>
      <c r="B315" s="82"/>
      <c r="C315" s="20"/>
      <c r="D315" s="20"/>
      <c r="E315" s="20"/>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5">
      <c r="A316" s="9"/>
      <c r="B316" s="82"/>
      <c r="C316" s="20"/>
      <c r="D316" s="20"/>
      <c r="E316" s="20"/>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5">
      <c r="A317" s="9"/>
      <c r="B317" s="82"/>
      <c r="C317" s="20"/>
      <c r="D317" s="20"/>
      <c r="E317" s="20"/>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5">
      <c r="A318" s="9"/>
      <c r="B318" s="82"/>
      <c r="C318" s="20"/>
      <c r="D318" s="20"/>
      <c r="E318" s="20"/>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5">
      <c r="A319" s="9"/>
      <c r="B319" s="82"/>
      <c r="C319" s="20"/>
      <c r="D319" s="20"/>
      <c r="E319" s="20"/>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5">
      <c r="A320" s="9"/>
      <c r="B320" s="82"/>
      <c r="C320" s="20"/>
      <c r="D320" s="20"/>
      <c r="E320" s="20"/>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5">
      <c r="A321" s="9"/>
      <c r="B321" s="82"/>
      <c r="C321" s="20"/>
      <c r="D321" s="20"/>
      <c r="E321" s="20"/>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5">
      <c r="A322" s="9"/>
      <c r="B322" s="82"/>
      <c r="C322" s="20"/>
      <c r="D322" s="20"/>
      <c r="E322" s="20"/>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5">
      <c r="A323" s="9"/>
      <c r="B323" s="82"/>
      <c r="C323" s="20"/>
      <c r="D323" s="20"/>
      <c r="E323" s="20"/>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5">
      <c r="A324" s="9"/>
      <c r="B324" s="82"/>
      <c r="C324" s="20"/>
      <c r="D324" s="20"/>
      <c r="E324" s="20"/>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5">
      <c r="A325" s="9"/>
      <c r="B325" s="82"/>
      <c r="C325" s="20"/>
      <c r="D325" s="20"/>
      <c r="E325" s="20"/>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5">
      <c r="A326" s="9"/>
      <c r="B326" s="82"/>
      <c r="C326" s="20"/>
      <c r="D326" s="20"/>
      <c r="E326" s="20"/>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5">
      <c r="A327" s="9"/>
      <c r="B327" s="82"/>
      <c r="C327" s="20"/>
      <c r="D327" s="20"/>
      <c r="E327" s="20"/>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5">
      <c r="A328" s="9"/>
      <c r="B328" s="82"/>
      <c r="C328" s="20"/>
      <c r="D328" s="20"/>
      <c r="E328" s="20"/>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5">
      <c r="A329" s="9"/>
      <c r="B329" s="82"/>
      <c r="C329" s="20"/>
      <c r="D329" s="20"/>
      <c r="E329" s="20"/>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5">
      <c r="A330" s="9"/>
      <c r="B330" s="82"/>
      <c r="C330" s="20"/>
      <c r="D330" s="20"/>
      <c r="E330" s="20"/>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5">
      <c r="A331" s="9"/>
      <c r="B331" s="82"/>
      <c r="C331" s="20"/>
      <c r="D331" s="20"/>
      <c r="E331" s="20"/>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5">
      <c r="A332" s="9"/>
      <c r="B332" s="82"/>
      <c r="C332" s="20"/>
      <c r="D332" s="20"/>
      <c r="E332" s="20"/>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5">
      <c r="A333" s="9"/>
      <c r="B333" s="82"/>
      <c r="C333" s="20"/>
      <c r="D333" s="20"/>
      <c r="E333" s="20"/>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5">
      <c r="A334" s="9"/>
      <c r="B334" s="82"/>
      <c r="C334" s="20"/>
      <c r="D334" s="20"/>
      <c r="E334" s="20"/>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5">
      <c r="A335" s="9"/>
      <c r="B335" s="82"/>
      <c r="C335" s="20"/>
      <c r="D335" s="20"/>
      <c r="E335" s="20"/>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5">
      <c r="A336" s="9"/>
      <c r="B336" s="82"/>
      <c r="C336" s="20"/>
      <c r="D336" s="20"/>
      <c r="E336" s="20"/>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5">
      <c r="A337" s="9"/>
      <c r="B337" s="82"/>
      <c r="C337" s="20"/>
      <c r="D337" s="20"/>
      <c r="E337" s="20"/>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5">
      <c r="A338" s="9"/>
      <c r="B338" s="82"/>
      <c r="C338" s="20"/>
      <c r="D338" s="20"/>
      <c r="E338" s="20"/>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5">
      <c r="A339" s="9"/>
      <c r="B339" s="82"/>
      <c r="C339" s="20"/>
      <c r="D339" s="20"/>
      <c r="E339" s="20"/>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5">
      <c r="A340" s="9"/>
      <c r="B340" s="82"/>
      <c r="C340" s="20"/>
      <c r="D340" s="20"/>
      <c r="E340" s="20"/>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5">
      <c r="A341" s="9"/>
      <c r="B341" s="82"/>
      <c r="C341" s="20"/>
      <c r="D341" s="20"/>
      <c r="E341" s="20"/>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5">
      <c r="A342" s="9"/>
      <c r="B342" s="82"/>
      <c r="C342" s="20"/>
      <c r="D342" s="20"/>
      <c r="E342" s="20"/>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5">
      <c r="A343" s="9"/>
      <c r="B343" s="82"/>
      <c r="C343" s="20"/>
      <c r="D343" s="20"/>
      <c r="E343" s="20"/>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5">
      <c r="A344" s="9"/>
      <c r="B344" s="82"/>
      <c r="C344" s="20"/>
      <c r="D344" s="20"/>
      <c r="E344" s="20"/>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5">
      <c r="A345" s="9"/>
      <c r="B345" s="82"/>
      <c r="C345" s="20"/>
      <c r="D345" s="20"/>
      <c r="E345" s="20"/>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5">
      <c r="A346" s="9"/>
      <c r="B346" s="82"/>
      <c r="C346" s="20"/>
      <c r="D346" s="20"/>
      <c r="E346" s="20"/>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5">
      <c r="A347" s="9"/>
      <c r="B347" s="82"/>
      <c r="C347" s="20"/>
      <c r="D347" s="20"/>
      <c r="E347" s="20"/>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5">
      <c r="A348" s="9"/>
      <c r="B348" s="82"/>
      <c r="C348" s="20"/>
      <c r="D348" s="20"/>
      <c r="E348" s="20"/>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5">
      <c r="A349" s="9"/>
      <c r="B349" s="82"/>
      <c r="C349" s="20"/>
      <c r="D349" s="20"/>
      <c r="E349" s="20"/>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5">
      <c r="A350" s="9"/>
      <c r="B350" s="82"/>
      <c r="C350" s="20"/>
      <c r="D350" s="20"/>
      <c r="E350" s="20"/>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5">
      <c r="A351" s="9"/>
      <c r="B351" s="82"/>
      <c r="C351" s="20"/>
      <c r="D351" s="20"/>
      <c r="E351" s="20"/>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5">
      <c r="A352" s="9"/>
      <c r="B352" s="82"/>
      <c r="C352" s="20"/>
      <c r="D352" s="20"/>
      <c r="E352" s="20"/>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5">
      <c r="A353" s="9"/>
      <c r="B353" s="82"/>
      <c r="C353" s="20"/>
      <c r="D353" s="20"/>
      <c r="E353" s="20"/>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5">
      <c r="A354" s="9"/>
      <c r="B354" s="82"/>
      <c r="C354" s="20"/>
      <c r="D354" s="20"/>
      <c r="E354" s="20"/>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5">
      <c r="A355" s="9"/>
      <c r="B355" s="82"/>
      <c r="C355" s="20"/>
      <c r="D355" s="20"/>
      <c r="E355" s="20"/>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5">
      <c r="A356" s="9"/>
      <c r="B356" s="82"/>
      <c r="C356" s="20"/>
      <c r="D356" s="20"/>
      <c r="E356" s="20"/>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5">
      <c r="A357" s="9"/>
      <c r="B357" s="82"/>
      <c r="C357" s="20"/>
      <c r="D357" s="20"/>
      <c r="E357" s="20"/>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5">
      <c r="A358" s="9"/>
      <c r="B358" s="82"/>
      <c r="C358" s="20"/>
      <c r="D358" s="20"/>
      <c r="E358" s="20"/>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5">
      <c r="A359" s="9"/>
      <c r="B359" s="82"/>
      <c r="C359" s="20"/>
      <c r="D359" s="20"/>
      <c r="E359" s="20"/>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5">
      <c r="A360" s="9"/>
      <c r="B360" s="82"/>
      <c r="C360" s="20"/>
      <c r="D360" s="20"/>
      <c r="E360" s="20"/>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5">
      <c r="A361" s="9"/>
      <c r="B361" s="82"/>
      <c r="C361" s="20"/>
      <c r="D361" s="20"/>
      <c r="E361" s="20"/>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5">
      <c r="A362" s="9"/>
      <c r="B362" s="82"/>
      <c r="C362" s="20"/>
      <c r="D362" s="20"/>
      <c r="E362" s="20"/>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5">
      <c r="A363" s="9"/>
      <c r="B363" s="82"/>
      <c r="C363" s="20"/>
      <c r="D363" s="20"/>
      <c r="E363" s="20"/>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5">
      <c r="A364" s="9"/>
      <c r="B364" s="82"/>
      <c r="C364" s="20"/>
      <c r="D364" s="20"/>
      <c r="E364" s="20"/>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5">
      <c r="A365" s="9"/>
      <c r="B365" s="82"/>
      <c r="C365" s="20"/>
      <c r="D365" s="20"/>
      <c r="E365" s="20"/>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5">
      <c r="A366" s="9"/>
      <c r="B366" s="82"/>
      <c r="C366" s="20"/>
      <c r="D366" s="20"/>
      <c r="E366" s="20"/>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5">
      <c r="A367" s="9"/>
      <c r="B367" s="82"/>
      <c r="C367" s="20"/>
      <c r="D367" s="20"/>
      <c r="E367" s="20"/>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5">
      <c r="A368" s="9"/>
      <c r="B368" s="82"/>
      <c r="C368" s="20"/>
      <c r="D368" s="20"/>
      <c r="E368" s="20"/>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5">
      <c r="A369" s="9"/>
      <c r="B369" s="82"/>
      <c r="C369" s="20"/>
      <c r="D369" s="20"/>
      <c r="E369" s="20"/>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5">
      <c r="A370" s="9"/>
      <c r="B370" s="82"/>
      <c r="C370" s="20"/>
      <c r="D370" s="20"/>
      <c r="E370" s="20"/>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5">
      <c r="A371" s="9"/>
      <c r="B371" s="82"/>
      <c r="C371" s="20"/>
      <c r="D371" s="20"/>
      <c r="E371" s="20"/>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5">
      <c r="A372" s="9"/>
      <c r="B372" s="82"/>
      <c r="C372" s="20"/>
      <c r="D372" s="20"/>
      <c r="E372" s="20"/>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5">
      <c r="A373" s="9"/>
      <c r="B373" s="82"/>
      <c r="C373" s="20"/>
      <c r="D373" s="20"/>
      <c r="E373" s="20"/>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5">
      <c r="A374" s="9"/>
      <c r="B374" s="82"/>
      <c r="C374" s="20"/>
      <c r="D374" s="20"/>
      <c r="E374" s="20"/>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5">
      <c r="A375" s="9"/>
      <c r="B375" s="82"/>
      <c r="C375" s="20"/>
      <c r="D375" s="20"/>
      <c r="E375" s="20"/>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5">
      <c r="A376" s="9"/>
      <c r="B376" s="82"/>
      <c r="C376" s="20"/>
      <c r="D376" s="20"/>
      <c r="E376" s="20"/>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5">
      <c r="A377" s="9"/>
      <c r="B377" s="82"/>
      <c r="C377" s="20"/>
      <c r="D377" s="20"/>
      <c r="E377" s="20"/>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5">
      <c r="A378" s="9"/>
      <c r="B378" s="82"/>
      <c r="C378" s="20"/>
      <c r="D378" s="20"/>
      <c r="E378" s="20"/>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5">
      <c r="A379" s="9"/>
      <c r="B379" s="82"/>
      <c r="C379" s="20"/>
      <c r="D379" s="20"/>
      <c r="E379" s="20"/>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5">
      <c r="A380" s="9"/>
      <c r="B380" s="82"/>
      <c r="C380" s="20"/>
      <c r="D380" s="20"/>
      <c r="E380" s="20"/>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5">
      <c r="A381" s="9"/>
      <c r="B381" s="82"/>
      <c r="C381" s="20"/>
      <c r="D381" s="20"/>
      <c r="E381" s="20"/>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5">
      <c r="A382" s="9"/>
      <c r="B382" s="82"/>
      <c r="C382" s="20"/>
      <c r="D382" s="20"/>
      <c r="E382" s="20"/>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5">
      <c r="A383" s="9"/>
      <c r="B383" s="82"/>
      <c r="C383" s="20"/>
      <c r="D383" s="20"/>
      <c r="E383" s="20"/>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5">
      <c r="A384" s="9"/>
      <c r="B384" s="82"/>
      <c r="C384" s="20"/>
      <c r="D384" s="20"/>
      <c r="E384" s="20"/>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5">
      <c r="A385" s="9"/>
      <c r="B385" s="82"/>
      <c r="C385" s="20"/>
      <c r="D385" s="20"/>
      <c r="E385" s="20"/>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5">
      <c r="A386" s="9"/>
      <c r="B386" s="82"/>
      <c r="C386" s="20"/>
      <c r="D386" s="20"/>
      <c r="E386" s="20"/>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5">
      <c r="A387" s="9"/>
      <c r="B387" s="82"/>
      <c r="C387" s="20"/>
      <c r="D387" s="20"/>
      <c r="E387" s="20"/>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5">
      <c r="A388" s="9"/>
      <c r="B388" s="82"/>
      <c r="C388" s="20"/>
      <c r="D388" s="20"/>
      <c r="E388" s="20"/>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5">
      <c r="A389" s="9"/>
      <c r="B389" s="82"/>
      <c r="C389" s="20"/>
      <c r="D389" s="20"/>
      <c r="E389" s="20"/>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5">
      <c r="A390" s="9"/>
      <c r="B390" s="82"/>
      <c r="C390" s="20"/>
      <c r="D390" s="20"/>
      <c r="E390" s="20"/>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5">
      <c r="A391" s="9"/>
      <c r="B391" s="82"/>
      <c r="C391" s="20"/>
      <c r="D391" s="20"/>
      <c r="E391" s="20"/>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5">
      <c r="A392" s="9"/>
      <c r="B392" s="82"/>
      <c r="C392" s="20"/>
      <c r="D392" s="20"/>
      <c r="E392" s="20"/>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5">
      <c r="A393" s="9"/>
      <c r="B393" s="82"/>
      <c r="C393" s="20"/>
      <c r="D393" s="20"/>
      <c r="E393" s="20"/>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5">
      <c r="A394" s="9"/>
      <c r="B394" s="82"/>
      <c r="C394" s="20"/>
      <c r="D394" s="20"/>
      <c r="E394" s="20"/>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5">
      <c r="A395" s="9"/>
      <c r="B395" s="82"/>
      <c r="C395" s="20"/>
      <c r="D395" s="20"/>
      <c r="E395" s="20"/>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5">
      <c r="A396" s="9"/>
      <c r="B396" s="82"/>
      <c r="C396" s="20"/>
      <c r="D396" s="20"/>
      <c r="E396" s="20"/>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5">
      <c r="A397" s="9"/>
      <c r="B397" s="82"/>
      <c r="C397" s="20"/>
      <c r="D397" s="20"/>
      <c r="E397" s="20"/>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5">
      <c r="A398" s="9"/>
      <c r="B398" s="82"/>
      <c r="C398" s="20"/>
      <c r="D398" s="20"/>
      <c r="E398" s="20"/>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5">
      <c r="A399" s="9"/>
      <c r="B399" s="82"/>
      <c r="C399" s="20"/>
      <c r="D399" s="20"/>
      <c r="E399" s="20"/>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5">
      <c r="A400" s="9"/>
      <c r="B400" s="82"/>
      <c r="C400" s="20"/>
      <c r="D400" s="20"/>
      <c r="E400" s="20"/>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5">
      <c r="A401" s="9"/>
      <c r="B401" s="82"/>
      <c r="C401" s="20"/>
      <c r="D401" s="20"/>
      <c r="E401" s="20"/>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5">
      <c r="A402" s="9"/>
      <c r="B402" s="82"/>
      <c r="C402" s="20"/>
      <c r="D402" s="20"/>
      <c r="E402" s="20"/>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5">
      <c r="A403" s="9"/>
      <c r="B403" s="82"/>
      <c r="C403" s="20"/>
      <c r="D403" s="20"/>
      <c r="E403" s="20"/>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5">
      <c r="A404" s="9"/>
      <c r="B404" s="82"/>
      <c r="C404" s="20"/>
      <c r="D404" s="20"/>
      <c r="E404" s="20"/>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5">
      <c r="A405" s="9"/>
      <c r="B405" s="82"/>
      <c r="C405" s="20"/>
      <c r="D405" s="20"/>
      <c r="E405" s="20"/>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5">
      <c r="A406" s="9"/>
      <c r="B406" s="82"/>
      <c r="C406" s="20"/>
      <c r="D406" s="20"/>
      <c r="E406" s="20"/>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5">
      <c r="A407" s="9"/>
      <c r="B407" s="82"/>
      <c r="C407" s="20"/>
      <c r="D407" s="20"/>
      <c r="E407" s="20"/>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5">
      <c r="A408" s="9"/>
      <c r="B408" s="82"/>
      <c r="C408" s="20"/>
      <c r="D408" s="20"/>
      <c r="E408" s="20"/>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5">
      <c r="A409" s="9"/>
      <c r="B409" s="82"/>
      <c r="C409" s="20"/>
      <c r="D409" s="20"/>
      <c r="E409" s="20"/>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5">
      <c r="A410" s="9"/>
      <c r="B410" s="82"/>
      <c r="C410" s="20"/>
      <c r="D410" s="20"/>
      <c r="E410" s="20"/>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5">
      <c r="A411" s="9"/>
      <c r="B411" s="82"/>
      <c r="C411" s="20"/>
      <c r="D411" s="20"/>
      <c r="E411" s="20"/>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5">
      <c r="A412" s="9"/>
      <c r="B412" s="82"/>
      <c r="C412" s="20"/>
      <c r="D412" s="20"/>
      <c r="E412" s="20"/>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5">
      <c r="A413" s="9"/>
      <c r="B413" s="82"/>
      <c r="C413" s="20"/>
      <c r="D413" s="20"/>
      <c r="E413" s="20"/>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5">
      <c r="A414" s="9"/>
      <c r="B414" s="82"/>
      <c r="C414" s="20"/>
      <c r="D414" s="20"/>
      <c r="E414" s="20"/>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5">
      <c r="A415" s="9"/>
      <c r="B415" s="82"/>
      <c r="C415" s="20"/>
      <c r="D415" s="20"/>
      <c r="E415" s="20"/>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5">
      <c r="A416" s="9"/>
      <c r="B416" s="82"/>
      <c r="C416" s="20"/>
      <c r="D416" s="20"/>
      <c r="E416" s="20"/>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5">
      <c r="A417" s="9"/>
      <c r="B417" s="82"/>
      <c r="C417" s="20"/>
      <c r="D417" s="20"/>
      <c r="E417" s="20"/>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5">
      <c r="A418" s="9"/>
      <c r="B418" s="82"/>
      <c r="C418" s="20"/>
      <c r="D418" s="20"/>
      <c r="E418" s="20"/>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5">
      <c r="A419" s="9"/>
      <c r="B419" s="82"/>
      <c r="C419" s="20"/>
      <c r="D419" s="20"/>
      <c r="E419" s="20"/>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5">
      <c r="A420" s="9"/>
      <c r="B420" s="82"/>
      <c r="C420" s="20"/>
      <c r="D420" s="20"/>
      <c r="E420" s="20"/>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5">
      <c r="A421" s="9"/>
      <c r="B421" s="82"/>
      <c r="C421" s="20"/>
      <c r="D421" s="20"/>
      <c r="E421" s="20"/>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5">
      <c r="A422" s="9"/>
      <c r="B422" s="82"/>
      <c r="C422" s="20"/>
      <c r="D422" s="20"/>
      <c r="E422" s="20"/>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5">
      <c r="A423" s="9"/>
      <c r="B423" s="82"/>
      <c r="C423" s="20"/>
      <c r="D423" s="20"/>
      <c r="E423" s="20"/>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5">
      <c r="A424" s="9"/>
      <c r="B424" s="82"/>
      <c r="C424" s="20"/>
      <c r="D424" s="20"/>
      <c r="E424" s="20"/>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5">
      <c r="A425" s="9"/>
      <c r="B425" s="82"/>
      <c r="C425" s="20"/>
      <c r="D425" s="20"/>
      <c r="E425" s="20"/>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5">
      <c r="A426" s="9"/>
      <c r="B426" s="82"/>
      <c r="C426" s="20"/>
      <c r="D426" s="20"/>
      <c r="E426" s="20"/>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5">
      <c r="A427" s="9"/>
      <c r="B427" s="82"/>
      <c r="C427" s="20"/>
      <c r="D427" s="20"/>
      <c r="E427" s="20"/>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5">
      <c r="A428" s="9"/>
      <c r="B428" s="82"/>
      <c r="C428" s="20"/>
      <c r="D428" s="20"/>
      <c r="E428" s="20"/>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5">
      <c r="A429" s="9"/>
      <c r="B429" s="82"/>
      <c r="C429" s="20"/>
      <c r="D429" s="20"/>
      <c r="E429" s="20"/>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5">
      <c r="A430" s="9"/>
      <c r="B430" s="82"/>
      <c r="C430" s="20"/>
      <c r="D430" s="20"/>
      <c r="E430" s="20"/>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5">
      <c r="A431" s="9"/>
      <c r="B431" s="82"/>
      <c r="C431" s="20"/>
      <c r="D431" s="20"/>
      <c r="E431" s="20"/>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5">
      <c r="A432" s="9"/>
      <c r="B432" s="82"/>
      <c r="C432" s="20"/>
      <c r="D432" s="20"/>
      <c r="E432" s="20"/>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5">
      <c r="A433" s="9"/>
      <c r="B433" s="82"/>
      <c r="C433" s="20"/>
      <c r="D433" s="20"/>
      <c r="E433" s="20"/>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5">
      <c r="A434" s="9"/>
      <c r="B434" s="82"/>
      <c r="C434" s="20"/>
      <c r="D434" s="20"/>
      <c r="E434" s="20"/>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5">
      <c r="A435" s="9"/>
      <c r="B435" s="82"/>
      <c r="C435" s="20"/>
      <c r="D435" s="20"/>
      <c r="E435" s="20"/>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5">
      <c r="A436" s="9"/>
      <c r="B436" s="82"/>
      <c r="C436" s="20"/>
      <c r="D436" s="20"/>
      <c r="E436" s="20"/>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5">
      <c r="A437" s="9"/>
      <c r="B437" s="82"/>
      <c r="C437" s="20"/>
      <c r="D437" s="20"/>
      <c r="E437" s="20"/>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5">
      <c r="A438" s="9"/>
      <c r="B438" s="82"/>
      <c r="C438" s="20"/>
      <c r="D438" s="20"/>
      <c r="E438" s="20"/>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5">
      <c r="A439" s="9"/>
      <c r="B439" s="82"/>
      <c r="C439" s="20"/>
      <c r="D439" s="20"/>
      <c r="E439" s="20"/>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5">
      <c r="A440" s="9"/>
      <c r="B440" s="82"/>
      <c r="C440" s="20"/>
      <c r="D440" s="20"/>
      <c r="E440" s="20"/>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5">
      <c r="A441" s="9"/>
      <c r="B441" s="82"/>
      <c r="C441" s="20"/>
      <c r="D441" s="20"/>
      <c r="E441" s="20"/>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5">
      <c r="A442" s="9"/>
      <c r="B442" s="82"/>
      <c r="C442" s="20"/>
      <c r="D442" s="20"/>
      <c r="E442" s="20"/>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5">
      <c r="A443" s="9"/>
      <c r="B443" s="82"/>
      <c r="C443" s="20"/>
      <c r="D443" s="20"/>
      <c r="E443" s="20"/>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5">
      <c r="A444" s="9"/>
      <c r="B444" s="82"/>
      <c r="C444" s="20"/>
      <c r="D444" s="20"/>
      <c r="E444" s="20"/>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5">
      <c r="A445" s="9"/>
      <c r="B445" s="82"/>
      <c r="C445" s="20"/>
      <c r="D445" s="20"/>
      <c r="E445" s="20"/>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5">
      <c r="A446" s="9"/>
      <c r="B446" s="82"/>
      <c r="C446" s="20"/>
      <c r="D446" s="20"/>
      <c r="E446" s="20"/>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5">
      <c r="A447" s="9"/>
      <c r="B447" s="82"/>
      <c r="C447" s="20"/>
      <c r="D447" s="20"/>
      <c r="E447" s="20"/>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5">
      <c r="A448" s="9"/>
      <c r="B448" s="82"/>
      <c r="C448" s="20"/>
      <c r="D448" s="20"/>
      <c r="E448" s="20"/>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5">
      <c r="A449" s="9"/>
      <c r="B449" s="82"/>
      <c r="C449" s="20"/>
      <c r="D449" s="20"/>
      <c r="E449" s="20"/>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5">
      <c r="A450" s="9"/>
      <c r="B450" s="82"/>
      <c r="C450" s="20"/>
      <c r="D450" s="20"/>
      <c r="E450" s="20"/>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5">
      <c r="A451" s="9"/>
      <c r="B451" s="82"/>
      <c r="C451" s="20"/>
      <c r="D451" s="20"/>
      <c r="E451" s="20"/>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5">
      <c r="A452" s="9"/>
      <c r="B452" s="82"/>
      <c r="C452" s="20"/>
      <c r="D452" s="20"/>
      <c r="E452" s="20"/>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5">
      <c r="A453" s="9"/>
      <c r="B453" s="82"/>
      <c r="C453" s="20"/>
      <c r="D453" s="20"/>
      <c r="E453" s="20"/>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5">
      <c r="A454" s="9"/>
      <c r="B454" s="82"/>
      <c r="C454" s="20"/>
      <c r="D454" s="20"/>
      <c r="E454" s="20"/>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5">
      <c r="A455" s="9"/>
      <c r="B455" s="82"/>
      <c r="C455" s="20"/>
      <c r="D455" s="20"/>
      <c r="E455" s="20"/>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5">
      <c r="A456" s="9"/>
      <c r="B456" s="82"/>
      <c r="C456" s="20"/>
      <c r="D456" s="20"/>
      <c r="E456" s="20"/>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5">
      <c r="A457" s="9"/>
      <c r="B457" s="82"/>
      <c r="C457" s="20"/>
      <c r="D457" s="20"/>
      <c r="E457" s="20"/>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5">
      <c r="A458" s="9"/>
      <c r="B458" s="82"/>
      <c r="C458" s="20"/>
      <c r="D458" s="20"/>
      <c r="E458" s="20"/>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5">
      <c r="A459" s="9"/>
      <c r="B459" s="82"/>
      <c r="C459" s="20"/>
      <c r="D459" s="20"/>
      <c r="E459" s="20"/>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5">
      <c r="A460" s="9"/>
      <c r="B460" s="82"/>
      <c r="C460" s="20"/>
      <c r="D460" s="20"/>
      <c r="E460" s="20"/>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5">
      <c r="A461" s="9"/>
      <c r="B461" s="82"/>
      <c r="C461" s="20"/>
      <c r="D461" s="20"/>
      <c r="E461" s="20"/>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5">
      <c r="A462" s="9"/>
      <c r="B462" s="82"/>
      <c r="C462" s="20"/>
      <c r="D462" s="20"/>
      <c r="E462" s="20"/>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5">
      <c r="A463" s="9"/>
      <c r="B463" s="82"/>
      <c r="C463" s="20"/>
      <c r="D463" s="20"/>
      <c r="E463" s="20"/>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5">
      <c r="A464" s="9"/>
      <c r="B464" s="82"/>
      <c r="C464" s="20"/>
      <c r="D464" s="20"/>
      <c r="E464" s="20"/>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5">
      <c r="A465" s="9"/>
      <c r="B465" s="82"/>
      <c r="C465" s="20"/>
      <c r="D465" s="20"/>
      <c r="E465" s="20"/>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5">
      <c r="A466" s="9"/>
      <c r="B466" s="82"/>
      <c r="C466" s="20"/>
      <c r="D466" s="20"/>
      <c r="E466" s="20"/>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5">
      <c r="A467" s="9"/>
      <c r="B467" s="82"/>
      <c r="C467" s="20"/>
      <c r="D467" s="20"/>
      <c r="E467" s="20"/>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5">
      <c r="A468" s="9"/>
      <c r="B468" s="82"/>
      <c r="C468" s="20"/>
      <c r="D468" s="20"/>
      <c r="E468" s="20"/>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5">
      <c r="A469" s="9"/>
      <c r="B469" s="82"/>
      <c r="C469" s="20"/>
      <c r="D469" s="20"/>
      <c r="E469" s="20"/>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5">
      <c r="A470" s="9"/>
      <c r="B470" s="82"/>
      <c r="C470" s="20"/>
      <c r="D470" s="20"/>
      <c r="E470" s="20"/>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5">
      <c r="A471" s="9"/>
      <c r="B471" s="82"/>
      <c r="C471" s="20"/>
      <c r="D471" s="20"/>
      <c r="E471" s="20"/>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5">
      <c r="A472" s="9"/>
      <c r="B472" s="82"/>
      <c r="C472" s="20"/>
      <c r="D472" s="20"/>
      <c r="E472" s="20"/>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5">
      <c r="A473" s="9"/>
      <c r="B473" s="82"/>
      <c r="C473" s="20"/>
      <c r="D473" s="20"/>
      <c r="E473" s="20"/>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5">
      <c r="A474" s="9"/>
      <c r="B474" s="82"/>
      <c r="C474" s="20"/>
      <c r="D474" s="20"/>
      <c r="E474" s="20"/>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5">
      <c r="A475" s="9"/>
      <c r="B475" s="82"/>
      <c r="C475" s="20"/>
      <c r="D475" s="20"/>
      <c r="E475" s="20"/>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5">
      <c r="A476" s="9"/>
      <c r="B476" s="82"/>
      <c r="C476" s="20"/>
      <c r="D476" s="20"/>
      <c r="E476" s="20"/>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5">
      <c r="A477" s="9"/>
      <c r="B477" s="82"/>
      <c r="C477" s="20"/>
      <c r="D477" s="20"/>
      <c r="E477" s="20"/>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5">
      <c r="A478" s="9"/>
      <c r="B478" s="82"/>
      <c r="C478" s="20"/>
      <c r="D478" s="20"/>
      <c r="E478" s="20"/>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5">
      <c r="A479" s="9"/>
      <c r="B479" s="82"/>
      <c r="C479" s="20"/>
      <c r="D479" s="20"/>
      <c r="E479" s="20"/>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5">
      <c r="A480" s="9"/>
      <c r="B480" s="82"/>
      <c r="C480" s="20"/>
      <c r="D480" s="20"/>
      <c r="E480" s="20"/>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5">
      <c r="A481" s="9"/>
      <c r="B481" s="82"/>
      <c r="C481" s="20"/>
      <c r="D481" s="20"/>
      <c r="E481" s="20"/>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5">
      <c r="A482" s="9"/>
      <c r="B482" s="82"/>
      <c r="C482" s="20"/>
      <c r="D482" s="20"/>
      <c r="E482" s="20"/>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5">
      <c r="A483" s="9"/>
      <c r="B483" s="82"/>
      <c r="C483" s="20"/>
      <c r="D483" s="20"/>
      <c r="E483" s="20"/>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5">
      <c r="A484" s="9"/>
      <c r="B484" s="82"/>
      <c r="C484" s="20"/>
      <c r="D484" s="20"/>
      <c r="E484" s="20"/>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5">
      <c r="A485" s="9"/>
      <c r="B485" s="82"/>
      <c r="C485" s="20"/>
      <c r="D485" s="20"/>
      <c r="E485" s="20"/>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5">
      <c r="A486" s="9"/>
      <c r="B486" s="82"/>
      <c r="C486" s="20"/>
      <c r="D486" s="20"/>
      <c r="E486" s="20"/>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5">
      <c r="A487" s="9"/>
      <c r="B487" s="82"/>
      <c r="C487" s="20"/>
      <c r="D487" s="20"/>
      <c r="E487" s="20"/>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5">
      <c r="A488" s="9"/>
      <c r="B488" s="82"/>
      <c r="C488" s="20"/>
      <c r="D488" s="20"/>
      <c r="E488" s="20"/>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5">
      <c r="A489" s="9"/>
      <c r="B489" s="82"/>
      <c r="C489" s="20"/>
      <c r="D489" s="20"/>
      <c r="E489" s="20"/>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5">
      <c r="A490" s="9"/>
      <c r="B490" s="82"/>
      <c r="C490" s="20"/>
      <c r="D490" s="20"/>
      <c r="E490" s="20"/>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5">
      <c r="A491" s="9"/>
      <c r="B491" s="82"/>
      <c r="C491" s="20"/>
      <c r="D491" s="20"/>
      <c r="E491" s="20"/>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5">
      <c r="A492" s="9"/>
      <c r="B492" s="82"/>
      <c r="C492" s="20"/>
      <c r="D492" s="20"/>
      <c r="E492" s="20"/>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5">
      <c r="A493" s="9"/>
      <c r="B493" s="82"/>
      <c r="C493" s="20"/>
      <c r="D493" s="20"/>
      <c r="E493" s="20"/>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5">
      <c r="A494" s="9"/>
      <c r="B494" s="82"/>
      <c r="C494" s="20"/>
      <c r="D494" s="20"/>
      <c r="E494" s="20"/>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5">
      <c r="A495" s="9"/>
      <c r="B495" s="82"/>
      <c r="C495" s="20"/>
      <c r="D495" s="20"/>
      <c r="E495" s="20"/>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5">
      <c r="A496" s="9"/>
      <c r="B496" s="82"/>
      <c r="C496" s="20"/>
      <c r="D496" s="20"/>
      <c r="E496" s="20"/>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5">
      <c r="A497" s="9"/>
      <c r="B497" s="82"/>
      <c r="C497" s="20"/>
      <c r="D497" s="20"/>
      <c r="E497" s="20"/>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5">
      <c r="A498" s="9"/>
      <c r="B498" s="82"/>
      <c r="C498" s="20"/>
      <c r="D498" s="20"/>
      <c r="E498" s="20"/>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5">
      <c r="A499" s="9"/>
      <c r="B499" s="82"/>
      <c r="C499" s="20"/>
      <c r="D499" s="20"/>
      <c r="E499" s="20"/>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5">
      <c r="A500" s="9"/>
      <c r="B500" s="82"/>
      <c r="C500" s="20"/>
      <c r="D500" s="20"/>
      <c r="E500" s="20"/>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5">
      <c r="A501" s="9"/>
      <c r="B501" s="82"/>
      <c r="C501" s="20"/>
      <c r="D501" s="20"/>
      <c r="E501" s="20"/>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5">
      <c r="A502" s="9"/>
      <c r="B502" s="82"/>
      <c r="C502" s="20"/>
      <c r="D502" s="20"/>
      <c r="E502" s="20"/>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5">
      <c r="A503" s="9"/>
      <c r="B503" s="82"/>
      <c r="C503" s="20"/>
      <c r="D503" s="20"/>
      <c r="E503" s="20"/>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5">
      <c r="A504" s="9"/>
      <c r="B504" s="82"/>
      <c r="C504" s="20"/>
      <c r="D504" s="20"/>
      <c r="E504" s="20"/>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5">
      <c r="A505" s="9"/>
      <c r="B505" s="82"/>
      <c r="C505" s="20"/>
      <c r="D505" s="20"/>
      <c r="E505" s="20"/>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5">
      <c r="A506" s="9"/>
      <c r="B506" s="82"/>
      <c r="C506" s="20"/>
      <c r="D506" s="20"/>
      <c r="E506" s="20"/>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5">
      <c r="A507" s="9"/>
      <c r="B507" s="82"/>
      <c r="C507" s="20"/>
      <c r="D507" s="20"/>
      <c r="E507" s="20"/>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5">
      <c r="A508" s="9"/>
      <c r="B508" s="82"/>
      <c r="C508" s="20"/>
      <c r="D508" s="20"/>
      <c r="E508" s="20"/>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5">
      <c r="A509" s="9"/>
      <c r="B509" s="82"/>
      <c r="C509" s="20"/>
      <c r="D509" s="20"/>
      <c r="E509" s="20"/>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5">
      <c r="A510" s="9"/>
      <c r="B510" s="82"/>
      <c r="C510" s="20"/>
      <c r="D510" s="20"/>
      <c r="E510" s="20"/>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5">
      <c r="A511" s="9"/>
      <c r="B511" s="82"/>
      <c r="C511" s="20"/>
      <c r="D511" s="20"/>
      <c r="E511" s="20"/>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5">
      <c r="A512" s="9"/>
      <c r="B512" s="82"/>
      <c r="C512" s="20"/>
      <c r="D512" s="20"/>
      <c r="E512" s="20"/>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5">
      <c r="A513" s="9"/>
      <c r="B513" s="82"/>
      <c r="C513" s="20"/>
      <c r="D513" s="20"/>
      <c r="E513" s="20"/>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5">
      <c r="A514" s="9"/>
      <c r="B514" s="82"/>
      <c r="C514" s="20"/>
      <c r="D514" s="20"/>
      <c r="E514" s="20"/>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5">
      <c r="A515" s="9"/>
      <c r="B515" s="82"/>
      <c r="C515" s="20"/>
      <c r="D515" s="20"/>
      <c r="E515" s="20"/>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5">
      <c r="A516" s="9"/>
      <c r="B516" s="82"/>
      <c r="C516" s="20"/>
      <c r="D516" s="20"/>
      <c r="E516" s="20"/>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5">
      <c r="A517" s="9"/>
      <c r="B517" s="82"/>
      <c r="C517" s="20"/>
      <c r="D517" s="20"/>
      <c r="E517" s="20"/>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5">
      <c r="A518" s="9"/>
      <c r="B518" s="82"/>
      <c r="C518" s="20"/>
      <c r="D518" s="20"/>
      <c r="E518" s="20"/>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5">
      <c r="A519" s="9"/>
      <c r="B519" s="82"/>
      <c r="C519" s="20"/>
      <c r="D519" s="20"/>
      <c r="E519" s="20"/>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5">
      <c r="A520" s="9"/>
      <c r="B520" s="82"/>
      <c r="C520" s="20"/>
      <c r="D520" s="20"/>
      <c r="E520" s="20"/>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5">
      <c r="A521" s="9"/>
      <c r="B521" s="82"/>
      <c r="C521" s="20"/>
      <c r="D521" s="20"/>
      <c r="E521" s="20"/>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5">
      <c r="A522" s="9"/>
      <c r="B522" s="82"/>
      <c r="C522" s="20"/>
      <c r="D522" s="20"/>
      <c r="E522" s="20"/>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5">
      <c r="A523" s="9"/>
      <c r="B523" s="82"/>
      <c r="C523" s="20"/>
      <c r="D523" s="20"/>
      <c r="E523" s="20"/>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5">
      <c r="A524" s="9"/>
      <c r="B524" s="82"/>
      <c r="C524" s="20"/>
      <c r="D524" s="20"/>
      <c r="E524" s="20"/>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5">
      <c r="A525" s="9"/>
      <c r="B525" s="82"/>
      <c r="C525" s="20"/>
      <c r="D525" s="20"/>
      <c r="E525" s="20"/>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5">
      <c r="A526" s="9"/>
      <c r="B526" s="82"/>
      <c r="C526" s="20"/>
      <c r="D526" s="20"/>
      <c r="E526" s="20"/>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5">
      <c r="A527" s="9"/>
      <c r="B527" s="82"/>
      <c r="C527" s="20"/>
      <c r="D527" s="20"/>
      <c r="E527" s="20"/>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5">
      <c r="A528" s="9"/>
      <c r="B528" s="82"/>
      <c r="C528" s="20"/>
      <c r="D528" s="20"/>
      <c r="E528" s="20"/>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5">
      <c r="A529" s="9"/>
      <c r="B529" s="82"/>
      <c r="C529" s="20"/>
      <c r="D529" s="20"/>
      <c r="E529" s="20"/>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5">
      <c r="A530" s="9"/>
      <c r="B530" s="82"/>
      <c r="C530" s="20"/>
      <c r="D530" s="20"/>
      <c r="E530" s="20"/>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5">
      <c r="A531" s="9"/>
      <c r="B531" s="82"/>
      <c r="C531" s="20"/>
      <c r="D531" s="20"/>
      <c r="E531" s="20"/>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5">
      <c r="A532" s="9"/>
      <c r="B532" s="82"/>
      <c r="C532" s="20"/>
      <c r="D532" s="20"/>
      <c r="E532" s="20"/>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5">
      <c r="A533" s="9"/>
      <c r="B533" s="82"/>
      <c r="C533" s="20"/>
      <c r="D533" s="20"/>
      <c r="E533" s="20"/>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5">
      <c r="A534" s="9"/>
      <c r="B534" s="82"/>
      <c r="C534" s="20"/>
      <c r="D534" s="20"/>
      <c r="E534" s="20"/>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5">
      <c r="A535" s="9"/>
      <c r="B535" s="82"/>
      <c r="C535" s="20"/>
      <c r="D535" s="20"/>
      <c r="E535" s="20"/>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5">
      <c r="A536" s="9"/>
      <c r="B536" s="82"/>
      <c r="C536" s="20"/>
      <c r="D536" s="20"/>
      <c r="E536" s="20"/>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5">
      <c r="A537" s="9"/>
      <c r="B537" s="82"/>
      <c r="C537" s="20"/>
      <c r="D537" s="20"/>
      <c r="E537" s="20"/>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5">
      <c r="A538" s="9"/>
      <c r="B538" s="82"/>
      <c r="C538" s="20"/>
      <c r="D538" s="20"/>
      <c r="E538" s="20"/>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5">
      <c r="A539" s="9"/>
      <c r="B539" s="82"/>
      <c r="C539" s="20"/>
      <c r="D539" s="20"/>
      <c r="E539" s="20"/>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5">
      <c r="A540" s="9"/>
      <c r="B540" s="82"/>
      <c r="C540" s="20"/>
      <c r="D540" s="20"/>
      <c r="E540" s="20"/>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5">
      <c r="A541" s="9"/>
      <c r="B541" s="82"/>
      <c r="C541" s="20"/>
      <c r="D541" s="20"/>
      <c r="E541" s="20"/>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5">
      <c r="A542" s="9"/>
      <c r="B542" s="82"/>
      <c r="C542" s="20"/>
      <c r="D542" s="20"/>
      <c r="E542" s="20"/>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5">
      <c r="A543" s="9"/>
      <c r="B543" s="82"/>
      <c r="C543" s="20"/>
      <c r="D543" s="20"/>
      <c r="E543" s="20"/>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5">
      <c r="A544" s="9"/>
      <c r="B544" s="82"/>
      <c r="C544" s="20"/>
      <c r="D544" s="20"/>
      <c r="E544" s="20"/>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5">
      <c r="A545" s="9"/>
      <c r="B545" s="82"/>
      <c r="C545" s="20"/>
      <c r="D545" s="20"/>
      <c r="E545" s="20"/>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5">
      <c r="A546" s="9"/>
      <c r="B546" s="82"/>
      <c r="C546" s="20"/>
      <c r="D546" s="20"/>
      <c r="E546" s="20"/>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5">
      <c r="A547" s="9"/>
      <c r="B547" s="82"/>
      <c r="C547" s="20"/>
      <c r="D547" s="20"/>
      <c r="E547" s="20"/>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5">
      <c r="A548" s="9"/>
      <c r="B548" s="82"/>
      <c r="C548" s="20"/>
      <c r="D548" s="20"/>
      <c r="E548" s="20"/>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5">
      <c r="A549" s="9"/>
      <c r="B549" s="82"/>
      <c r="C549" s="20"/>
      <c r="D549" s="20"/>
      <c r="E549" s="20"/>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5">
      <c r="A550" s="9"/>
      <c r="B550" s="82"/>
      <c r="C550" s="20"/>
      <c r="D550" s="20"/>
      <c r="E550" s="20"/>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5">
      <c r="A551" s="9"/>
      <c r="B551" s="82"/>
      <c r="C551" s="20"/>
      <c r="D551" s="20"/>
      <c r="E551" s="20"/>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5">
      <c r="A552" s="9"/>
      <c r="B552" s="82"/>
      <c r="C552" s="20"/>
      <c r="D552" s="20"/>
      <c r="E552" s="20"/>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5">
      <c r="A553" s="9"/>
      <c r="B553" s="82"/>
      <c r="C553" s="20"/>
      <c r="D553" s="20"/>
      <c r="E553" s="20"/>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5">
      <c r="A554" s="9"/>
      <c r="B554" s="82"/>
      <c r="C554" s="20"/>
      <c r="D554" s="20"/>
      <c r="E554" s="20"/>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5">
      <c r="A555" s="9"/>
      <c r="B555" s="82"/>
      <c r="C555" s="20"/>
      <c r="D555" s="20"/>
      <c r="E555" s="20"/>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5">
      <c r="A556" s="9"/>
      <c r="B556" s="82"/>
      <c r="C556" s="20"/>
      <c r="D556" s="20"/>
      <c r="E556" s="20"/>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5">
      <c r="A557" s="9"/>
      <c r="B557" s="82"/>
      <c r="C557" s="20"/>
      <c r="D557" s="20"/>
      <c r="E557" s="20"/>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5">
      <c r="A558" s="9"/>
      <c r="B558" s="82"/>
      <c r="C558" s="20"/>
      <c r="D558" s="20"/>
      <c r="E558" s="20"/>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5">
      <c r="A559" s="9"/>
      <c r="B559" s="82"/>
      <c r="C559" s="20"/>
      <c r="D559" s="20"/>
      <c r="E559" s="20"/>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5">
      <c r="A560" s="9"/>
      <c r="B560" s="82"/>
      <c r="C560" s="20"/>
      <c r="D560" s="20"/>
      <c r="E560" s="20"/>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5">
      <c r="A561" s="9"/>
      <c r="B561" s="82"/>
      <c r="C561" s="20"/>
      <c r="D561" s="20"/>
      <c r="E561" s="20"/>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5">
      <c r="A562" s="9"/>
      <c r="B562" s="82"/>
      <c r="C562" s="20"/>
      <c r="D562" s="20"/>
      <c r="E562" s="20"/>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5">
      <c r="A563" s="9"/>
      <c r="B563" s="82"/>
      <c r="C563" s="20"/>
      <c r="D563" s="20"/>
      <c r="E563" s="20"/>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5">
      <c r="A564" s="9"/>
      <c r="B564" s="82"/>
      <c r="C564" s="20"/>
      <c r="D564" s="20"/>
      <c r="E564" s="20"/>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5">
      <c r="A565" s="9"/>
      <c r="B565" s="82"/>
      <c r="C565" s="20"/>
      <c r="D565" s="20"/>
      <c r="E565" s="20"/>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5">
      <c r="A566" s="9"/>
      <c r="B566" s="82"/>
      <c r="C566" s="20"/>
      <c r="D566" s="20"/>
      <c r="E566" s="20"/>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5">
      <c r="A567" s="9"/>
      <c r="B567" s="82"/>
      <c r="C567" s="20"/>
      <c r="D567" s="20"/>
      <c r="E567" s="20"/>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5">
      <c r="A568" s="9"/>
      <c r="B568" s="82"/>
      <c r="C568" s="20"/>
      <c r="D568" s="20"/>
      <c r="E568" s="20"/>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5">
      <c r="A569" s="9"/>
      <c r="B569" s="82"/>
      <c r="C569" s="20"/>
      <c r="D569" s="20"/>
      <c r="E569" s="20"/>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5">
      <c r="A570" s="9"/>
      <c r="B570" s="82"/>
      <c r="C570" s="20"/>
      <c r="D570" s="20"/>
      <c r="E570" s="20"/>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5">
      <c r="A571" s="9"/>
      <c r="B571" s="82"/>
      <c r="C571" s="20"/>
      <c r="D571" s="20"/>
      <c r="E571" s="20"/>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5">
      <c r="A572" s="9"/>
      <c r="B572" s="82"/>
      <c r="C572" s="20"/>
      <c r="D572" s="20"/>
      <c r="E572" s="20"/>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5">
      <c r="A573" s="9"/>
      <c r="B573" s="82"/>
      <c r="C573" s="20"/>
      <c r="D573" s="20"/>
      <c r="E573" s="20"/>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5">
      <c r="A574" s="9"/>
      <c r="B574" s="82"/>
      <c r="C574" s="20"/>
      <c r="D574" s="20"/>
      <c r="E574" s="20"/>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5">
      <c r="A575" s="9"/>
      <c r="B575" s="82"/>
      <c r="C575" s="20"/>
      <c r="D575" s="20"/>
      <c r="E575" s="20"/>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5">
      <c r="A576" s="9"/>
      <c r="B576" s="82"/>
      <c r="C576" s="20"/>
      <c r="D576" s="20"/>
      <c r="E576" s="20"/>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5">
      <c r="A577" s="9"/>
      <c r="B577" s="82"/>
      <c r="C577" s="20"/>
      <c r="D577" s="20"/>
      <c r="E577" s="20"/>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5">
      <c r="A578" s="9"/>
      <c r="B578" s="82"/>
      <c r="C578" s="20"/>
      <c r="D578" s="20"/>
      <c r="E578" s="20"/>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5">
      <c r="A579" s="9"/>
      <c r="B579" s="82"/>
      <c r="C579" s="20"/>
      <c r="D579" s="20"/>
      <c r="E579" s="20"/>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5">
      <c r="A580" s="9"/>
      <c r="B580" s="82"/>
      <c r="C580" s="20"/>
      <c r="D580" s="20"/>
      <c r="E580" s="20"/>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5">
      <c r="A581" s="9"/>
      <c r="B581" s="82"/>
      <c r="C581" s="20"/>
      <c r="D581" s="20"/>
      <c r="E581" s="20"/>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5">
      <c r="A582" s="9"/>
      <c r="B582" s="82"/>
      <c r="C582" s="20"/>
      <c r="D582" s="20"/>
      <c r="E582" s="20"/>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5">
      <c r="A583" s="9"/>
      <c r="B583" s="82"/>
      <c r="C583" s="20"/>
      <c r="D583" s="20"/>
      <c r="E583" s="20"/>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5">
      <c r="A584" s="9"/>
      <c r="B584" s="82"/>
      <c r="C584" s="20"/>
      <c r="D584" s="20"/>
      <c r="E584" s="20"/>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5">
      <c r="A585" s="9"/>
      <c r="B585" s="82"/>
      <c r="C585" s="20"/>
      <c r="D585" s="20"/>
      <c r="E585" s="20"/>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5">
      <c r="A586" s="9"/>
      <c r="B586" s="82"/>
      <c r="C586" s="20"/>
      <c r="D586" s="20"/>
      <c r="E586" s="20"/>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5">
      <c r="A587" s="9"/>
      <c r="B587" s="82"/>
      <c r="C587" s="20"/>
      <c r="D587" s="20"/>
      <c r="E587" s="20"/>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5">
      <c r="A588" s="9"/>
      <c r="B588" s="82"/>
      <c r="C588" s="20"/>
      <c r="D588" s="20"/>
      <c r="E588" s="20"/>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5">
      <c r="A589" s="9"/>
      <c r="B589" s="82"/>
      <c r="C589" s="20"/>
      <c r="D589" s="20"/>
      <c r="E589" s="20"/>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5">
      <c r="A590" s="9"/>
      <c r="B590" s="82"/>
      <c r="C590" s="20"/>
      <c r="D590" s="20"/>
      <c r="E590" s="20"/>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5">
      <c r="A591" s="9"/>
      <c r="B591" s="82"/>
      <c r="C591" s="20"/>
      <c r="D591" s="20"/>
      <c r="E591" s="20"/>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5">
      <c r="A592" s="9"/>
      <c r="B592" s="82"/>
      <c r="C592" s="20"/>
      <c r="D592" s="20"/>
      <c r="E592" s="20"/>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5">
      <c r="A593" s="9"/>
      <c r="B593" s="82"/>
      <c r="C593" s="20"/>
      <c r="D593" s="20"/>
      <c r="E593" s="20"/>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5">
      <c r="A594" s="9"/>
      <c r="B594" s="82"/>
      <c r="C594" s="20"/>
      <c r="D594" s="20"/>
      <c r="E594" s="20"/>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5">
      <c r="A595" s="9"/>
      <c r="B595" s="82"/>
      <c r="C595" s="20"/>
      <c r="D595" s="20"/>
      <c r="E595" s="20"/>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5">
      <c r="A596" s="9"/>
      <c r="B596" s="82"/>
      <c r="C596" s="20"/>
      <c r="D596" s="20"/>
      <c r="E596" s="20"/>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5">
      <c r="A597" s="9"/>
      <c r="B597" s="82"/>
      <c r="C597" s="20"/>
      <c r="D597" s="20"/>
      <c r="E597" s="20"/>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5">
      <c r="A598" s="9"/>
      <c r="B598" s="82"/>
      <c r="C598" s="20"/>
      <c r="D598" s="20"/>
      <c r="E598" s="20"/>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5">
      <c r="A599" s="9"/>
      <c r="B599" s="82"/>
      <c r="C599" s="20"/>
      <c r="D599" s="20"/>
      <c r="E599" s="20"/>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5">
      <c r="A600" s="9"/>
      <c r="B600" s="82"/>
      <c r="C600" s="20"/>
      <c r="D600" s="20"/>
      <c r="E600" s="20"/>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5">
      <c r="A601" s="9"/>
      <c r="B601" s="82"/>
      <c r="C601" s="20"/>
      <c r="D601" s="20"/>
      <c r="E601" s="20"/>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5">
      <c r="A602" s="9"/>
      <c r="B602" s="82"/>
      <c r="C602" s="20"/>
      <c r="D602" s="20"/>
      <c r="E602" s="20"/>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5">
      <c r="A603" s="9"/>
      <c r="B603" s="82"/>
      <c r="C603" s="20"/>
      <c r="D603" s="20"/>
      <c r="E603" s="20"/>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5">
      <c r="A604" s="9"/>
      <c r="B604" s="82"/>
      <c r="C604" s="20"/>
      <c r="D604" s="20"/>
      <c r="E604" s="20"/>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5">
      <c r="A605" s="9"/>
      <c r="B605" s="82"/>
      <c r="C605" s="20"/>
      <c r="D605" s="20"/>
      <c r="E605" s="20"/>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5">
      <c r="A606" s="9"/>
      <c r="B606" s="82"/>
      <c r="C606" s="20"/>
      <c r="D606" s="20"/>
      <c r="E606" s="20"/>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5">
      <c r="A607" s="9"/>
      <c r="B607" s="82"/>
      <c r="C607" s="20"/>
      <c r="D607" s="20"/>
      <c r="E607" s="20"/>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5">
      <c r="A608" s="9"/>
      <c r="B608" s="82"/>
      <c r="C608" s="20"/>
      <c r="D608" s="20"/>
      <c r="E608" s="20"/>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5">
      <c r="A609" s="9"/>
      <c r="B609" s="82"/>
      <c r="C609" s="20"/>
      <c r="D609" s="20"/>
      <c r="E609" s="20"/>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5">
      <c r="A610" s="9"/>
      <c r="B610" s="82"/>
      <c r="C610" s="20"/>
      <c r="D610" s="20"/>
      <c r="E610" s="20"/>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5">
      <c r="A611" s="9"/>
      <c r="B611" s="82"/>
      <c r="C611" s="20"/>
      <c r="D611" s="20"/>
      <c r="E611" s="20"/>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5">
      <c r="A612" s="9"/>
      <c r="B612" s="82"/>
      <c r="C612" s="20"/>
      <c r="D612" s="20"/>
      <c r="E612" s="20"/>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5">
      <c r="A613" s="9"/>
      <c r="B613" s="82"/>
      <c r="C613" s="20"/>
      <c r="D613" s="20"/>
      <c r="E613" s="20"/>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5">
      <c r="A614" s="9"/>
      <c r="B614" s="82"/>
      <c r="C614" s="20"/>
      <c r="D614" s="20"/>
      <c r="E614" s="20"/>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5">
      <c r="A615" s="9"/>
      <c r="B615" s="82"/>
      <c r="C615" s="20"/>
      <c r="D615" s="20"/>
      <c r="E615" s="20"/>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5">
      <c r="A616" s="9"/>
      <c r="B616" s="82"/>
      <c r="C616" s="20"/>
      <c r="D616" s="20"/>
      <c r="E616" s="20"/>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5">
      <c r="A617" s="9"/>
      <c r="B617" s="82"/>
      <c r="C617" s="20"/>
      <c r="D617" s="20"/>
      <c r="E617" s="20"/>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5">
      <c r="A618" s="9"/>
      <c r="B618" s="82"/>
      <c r="C618" s="20"/>
      <c r="D618" s="20"/>
      <c r="E618" s="20"/>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5">
      <c r="A619" s="9"/>
      <c r="B619" s="82"/>
      <c r="C619" s="20"/>
      <c r="D619" s="20"/>
      <c r="E619" s="20"/>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5">
      <c r="A620" s="9"/>
      <c r="B620" s="82"/>
      <c r="C620" s="20"/>
      <c r="D620" s="20"/>
      <c r="E620" s="20"/>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5">
      <c r="A621" s="9"/>
      <c r="B621" s="82"/>
      <c r="C621" s="20"/>
      <c r="D621" s="20"/>
      <c r="E621" s="20"/>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5">
      <c r="A622" s="9"/>
      <c r="B622" s="82"/>
      <c r="C622" s="20"/>
      <c r="D622" s="20"/>
      <c r="E622" s="20"/>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5">
      <c r="A623" s="9"/>
      <c r="B623" s="82"/>
      <c r="C623" s="20"/>
      <c r="D623" s="20"/>
      <c r="E623" s="20"/>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5">
      <c r="A624" s="9"/>
      <c r="B624" s="82"/>
      <c r="C624" s="20"/>
      <c r="D624" s="20"/>
      <c r="E624" s="20"/>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5">
      <c r="A625" s="9"/>
      <c r="B625" s="82"/>
      <c r="C625" s="20"/>
      <c r="D625" s="20"/>
      <c r="E625" s="20"/>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5">
      <c r="A626" s="9"/>
      <c r="B626" s="82"/>
      <c r="C626" s="20"/>
      <c r="D626" s="20"/>
      <c r="E626" s="20"/>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5">
      <c r="A627" s="9"/>
      <c r="B627" s="82"/>
      <c r="C627" s="20"/>
      <c r="D627" s="20"/>
      <c r="E627" s="20"/>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5">
      <c r="A628" s="9"/>
      <c r="B628" s="82"/>
      <c r="C628" s="20"/>
      <c r="D628" s="20"/>
      <c r="E628" s="20"/>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5">
      <c r="A629" s="9"/>
      <c r="B629" s="82"/>
      <c r="C629" s="20"/>
      <c r="D629" s="20"/>
      <c r="E629" s="20"/>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5">
      <c r="A630" s="9"/>
      <c r="B630" s="82"/>
      <c r="C630" s="20"/>
      <c r="D630" s="20"/>
      <c r="E630" s="20"/>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5">
      <c r="A631" s="9"/>
      <c r="B631" s="82"/>
      <c r="C631" s="20"/>
      <c r="D631" s="20"/>
      <c r="E631" s="20"/>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5">
      <c r="A632" s="9"/>
      <c r="B632" s="82"/>
      <c r="C632" s="20"/>
      <c r="D632" s="20"/>
      <c r="E632" s="20"/>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5">
      <c r="A633" s="9"/>
      <c r="B633" s="82"/>
      <c r="C633" s="20"/>
      <c r="D633" s="20"/>
      <c r="E633" s="20"/>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5">
      <c r="A634" s="9"/>
      <c r="B634" s="82"/>
      <c r="C634" s="20"/>
      <c r="D634" s="20"/>
      <c r="E634" s="20"/>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5">
      <c r="A635" s="9"/>
      <c r="B635" s="82"/>
      <c r="C635" s="20"/>
      <c r="D635" s="20"/>
      <c r="E635" s="20"/>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5">
      <c r="A636" s="9"/>
      <c r="B636" s="82"/>
      <c r="C636" s="20"/>
      <c r="D636" s="20"/>
      <c r="E636" s="20"/>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5">
      <c r="A637" s="9"/>
      <c r="B637" s="82"/>
      <c r="C637" s="20"/>
      <c r="D637" s="20"/>
      <c r="E637" s="20"/>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5">
      <c r="A638" s="9"/>
      <c r="B638" s="82"/>
      <c r="C638" s="20"/>
      <c r="D638" s="20"/>
      <c r="E638" s="20"/>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5">
      <c r="A639" s="9"/>
      <c r="B639" s="82"/>
      <c r="C639" s="20"/>
      <c r="D639" s="20"/>
      <c r="E639" s="20"/>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5">
      <c r="A640" s="9"/>
      <c r="B640" s="82"/>
      <c r="C640" s="20"/>
      <c r="D640" s="20"/>
      <c r="E640" s="20"/>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5">
      <c r="A641" s="9"/>
      <c r="B641" s="82"/>
      <c r="C641" s="20"/>
      <c r="D641" s="20"/>
      <c r="E641" s="20"/>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5">
      <c r="A642" s="9"/>
      <c r="B642" s="82"/>
      <c r="C642" s="20"/>
      <c r="D642" s="20"/>
      <c r="E642" s="20"/>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5">
      <c r="A643" s="9"/>
      <c r="B643" s="82"/>
      <c r="C643" s="20"/>
      <c r="D643" s="20"/>
      <c r="E643" s="20"/>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5">
      <c r="A644" s="9"/>
      <c r="B644" s="82"/>
      <c r="C644" s="20"/>
      <c r="D644" s="20"/>
      <c r="E644" s="20"/>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5">
      <c r="A645" s="9"/>
      <c r="B645" s="82"/>
      <c r="C645" s="20"/>
      <c r="D645" s="20"/>
      <c r="E645" s="20"/>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5">
      <c r="A646" s="9"/>
      <c r="B646" s="82"/>
      <c r="C646" s="20"/>
      <c r="D646" s="20"/>
      <c r="E646" s="20"/>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5">
      <c r="A647" s="9"/>
      <c r="B647" s="82"/>
      <c r="C647" s="20"/>
      <c r="D647" s="20"/>
      <c r="E647" s="20"/>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5">
      <c r="A648" s="9"/>
      <c r="B648" s="82"/>
      <c r="C648" s="20"/>
      <c r="D648" s="20"/>
      <c r="E648" s="20"/>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5">
      <c r="A649" s="9"/>
      <c r="B649" s="82"/>
      <c r="C649" s="20"/>
      <c r="D649" s="20"/>
      <c r="E649" s="20"/>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5">
      <c r="A650" s="9"/>
      <c r="B650" s="82"/>
      <c r="C650" s="20"/>
      <c r="D650" s="20"/>
      <c r="E650" s="20"/>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5">
      <c r="A651" s="9"/>
      <c r="B651" s="82"/>
      <c r="C651" s="20"/>
      <c r="D651" s="20"/>
      <c r="E651" s="20"/>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5">
      <c r="A652" s="9"/>
      <c r="B652" s="82"/>
      <c r="C652" s="20"/>
      <c r="D652" s="20"/>
      <c r="E652" s="20"/>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5">
      <c r="A653" s="9"/>
      <c r="B653" s="82"/>
      <c r="C653" s="20"/>
      <c r="D653" s="20"/>
      <c r="E653" s="20"/>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5">
      <c r="A654" s="9"/>
      <c r="B654" s="82"/>
      <c r="C654" s="20"/>
      <c r="D654" s="20"/>
      <c r="E654" s="20"/>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5">
      <c r="A655" s="9"/>
      <c r="B655" s="82"/>
      <c r="C655" s="20"/>
      <c r="D655" s="20"/>
      <c r="E655" s="20"/>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5">
      <c r="A656" s="9"/>
      <c r="B656" s="82"/>
      <c r="C656" s="20"/>
      <c r="D656" s="20"/>
      <c r="E656" s="20"/>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5">
      <c r="A657" s="9"/>
      <c r="B657" s="82"/>
      <c r="C657" s="20"/>
      <c r="D657" s="20"/>
      <c r="E657" s="20"/>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5">
      <c r="A658" s="9"/>
      <c r="B658" s="82"/>
      <c r="C658" s="20"/>
      <c r="D658" s="20"/>
      <c r="E658" s="20"/>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5">
      <c r="A659" s="9"/>
      <c r="B659" s="82"/>
      <c r="C659" s="20"/>
      <c r="D659" s="20"/>
      <c r="E659" s="20"/>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5">
      <c r="A660" s="9"/>
      <c r="B660" s="82"/>
      <c r="C660" s="20"/>
      <c r="D660" s="20"/>
      <c r="E660" s="20"/>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5">
      <c r="A661" s="9"/>
      <c r="B661" s="82"/>
      <c r="C661" s="20"/>
      <c r="D661" s="20"/>
      <c r="E661" s="20"/>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5">
      <c r="A662" s="9"/>
      <c r="B662" s="82"/>
      <c r="C662" s="20"/>
      <c r="D662" s="20"/>
      <c r="E662" s="20"/>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5">
      <c r="A663" s="9"/>
      <c r="B663" s="82"/>
      <c r="C663" s="20"/>
      <c r="D663" s="20"/>
      <c r="E663" s="20"/>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5">
      <c r="A664" s="9"/>
      <c r="B664" s="82"/>
      <c r="C664" s="20"/>
      <c r="D664" s="20"/>
      <c r="E664" s="20"/>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5">
      <c r="A665" s="9"/>
      <c r="B665" s="82"/>
      <c r="C665" s="20"/>
      <c r="D665" s="20"/>
      <c r="E665" s="20"/>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5">
      <c r="A666" s="9"/>
      <c r="B666" s="82"/>
      <c r="C666" s="20"/>
      <c r="D666" s="20"/>
      <c r="E666" s="20"/>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5">
      <c r="A667" s="9"/>
      <c r="B667" s="82"/>
      <c r="C667" s="20"/>
      <c r="D667" s="20"/>
      <c r="E667" s="20"/>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5">
      <c r="A668" s="9"/>
      <c r="B668" s="82"/>
      <c r="C668" s="20"/>
      <c r="D668" s="20"/>
      <c r="E668" s="20"/>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5">
      <c r="A669" s="9"/>
      <c r="B669" s="82"/>
      <c r="C669" s="20"/>
      <c r="D669" s="20"/>
      <c r="E669" s="20"/>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5">
      <c r="A670" s="9"/>
      <c r="B670" s="82"/>
      <c r="C670" s="20"/>
      <c r="D670" s="20"/>
      <c r="E670" s="20"/>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5">
      <c r="A671" s="9"/>
      <c r="B671" s="82"/>
      <c r="C671" s="20"/>
      <c r="D671" s="20"/>
      <c r="E671" s="20"/>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5">
      <c r="A672" s="9"/>
      <c r="B672" s="82"/>
      <c r="C672" s="20"/>
      <c r="D672" s="20"/>
      <c r="E672" s="20"/>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5">
      <c r="A673" s="9"/>
      <c r="B673" s="82"/>
      <c r="C673" s="20"/>
      <c r="D673" s="20"/>
      <c r="E673" s="20"/>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5">
      <c r="A674" s="9"/>
      <c r="B674" s="82"/>
      <c r="C674" s="20"/>
      <c r="D674" s="20"/>
      <c r="E674" s="20"/>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5">
      <c r="A675" s="9"/>
      <c r="B675" s="82"/>
      <c r="C675" s="20"/>
      <c r="D675" s="20"/>
      <c r="E675" s="20"/>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5">
      <c r="A676" s="9"/>
      <c r="B676" s="82"/>
      <c r="C676" s="20"/>
      <c r="D676" s="20"/>
      <c r="E676" s="20"/>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5">
      <c r="A677" s="9"/>
      <c r="B677" s="82"/>
      <c r="C677" s="20"/>
      <c r="D677" s="20"/>
      <c r="E677" s="20"/>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5">
      <c r="A678" s="9"/>
      <c r="B678" s="82"/>
      <c r="C678" s="20"/>
      <c r="D678" s="20"/>
      <c r="E678" s="20"/>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5">
      <c r="A679" s="9"/>
      <c r="B679" s="82"/>
      <c r="C679" s="20"/>
      <c r="D679" s="20"/>
      <c r="E679" s="20"/>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5">
      <c r="A680" s="9"/>
      <c r="B680" s="82"/>
      <c r="C680" s="20"/>
      <c r="D680" s="20"/>
      <c r="E680" s="20"/>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5">
      <c r="A681" s="9"/>
      <c r="B681" s="82"/>
      <c r="C681" s="20"/>
      <c r="D681" s="20"/>
      <c r="E681" s="20"/>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5">
      <c r="A682" s="9"/>
      <c r="B682" s="82"/>
      <c r="C682" s="20"/>
      <c r="D682" s="20"/>
      <c r="E682" s="20"/>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5">
      <c r="A683" s="9"/>
      <c r="B683" s="82"/>
      <c r="C683" s="20"/>
      <c r="D683" s="20"/>
      <c r="E683" s="20"/>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5">
      <c r="A684" s="9"/>
      <c r="B684" s="82"/>
      <c r="C684" s="20"/>
      <c r="D684" s="20"/>
      <c r="E684" s="20"/>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5">
      <c r="A685" s="9"/>
      <c r="B685" s="82"/>
      <c r="C685" s="20"/>
      <c r="D685" s="20"/>
      <c r="E685" s="20"/>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5">
      <c r="A686" s="9"/>
      <c r="B686" s="82"/>
      <c r="C686" s="20"/>
      <c r="D686" s="20"/>
      <c r="E686" s="20"/>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5">
      <c r="A687" s="9"/>
      <c r="B687" s="82"/>
      <c r="C687" s="20"/>
      <c r="D687" s="20"/>
      <c r="E687" s="20"/>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5">
      <c r="A688" s="9"/>
      <c r="B688" s="82"/>
      <c r="C688" s="20"/>
      <c r="D688" s="20"/>
      <c r="E688" s="20"/>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5">
      <c r="A689" s="9"/>
      <c r="B689" s="82"/>
      <c r="C689" s="20"/>
      <c r="D689" s="20"/>
      <c r="E689" s="20"/>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5">
      <c r="A690" s="9"/>
      <c r="B690" s="82"/>
      <c r="C690" s="20"/>
      <c r="D690" s="20"/>
      <c r="E690" s="20"/>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5">
      <c r="A691" s="9"/>
      <c r="B691" s="82"/>
      <c r="C691" s="20"/>
      <c r="D691" s="20"/>
      <c r="E691" s="20"/>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5">
      <c r="A692" s="9"/>
      <c r="B692" s="82"/>
      <c r="C692" s="20"/>
      <c r="D692" s="20"/>
      <c r="E692" s="20"/>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5">
      <c r="A693" s="9"/>
      <c r="B693" s="82"/>
      <c r="C693" s="20"/>
      <c r="D693" s="20"/>
      <c r="E693" s="20"/>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5">
      <c r="A694" s="9"/>
      <c r="B694" s="82"/>
      <c r="C694" s="20"/>
      <c r="D694" s="20"/>
      <c r="E694" s="20"/>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5">
      <c r="A695" s="9"/>
      <c r="B695" s="82"/>
      <c r="C695" s="20"/>
      <c r="D695" s="20"/>
      <c r="E695" s="20"/>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5">
      <c r="A696" s="9"/>
      <c r="B696" s="82"/>
      <c r="C696" s="20"/>
      <c r="D696" s="20"/>
      <c r="E696" s="20"/>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5">
      <c r="A697" s="9"/>
      <c r="B697" s="82"/>
      <c r="C697" s="20"/>
      <c r="D697" s="20"/>
      <c r="E697" s="20"/>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5">
      <c r="A698" s="9"/>
      <c r="B698" s="82"/>
      <c r="C698" s="20"/>
      <c r="D698" s="20"/>
      <c r="E698" s="20"/>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5">
      <c r="A699" s="9"/>
      <c r="B699" s="82"/>
      <c r="C699" s="20"/>
      <c r="D699" s="20"/>
      <c r="E699" s="20"/>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5">
      <c r="A700" s="9"/>
      <c r="B700" s="82"/>
      <c r="C700" s="20"/>
      <c r="D700" s="20"/>
      <c r="E700" s="20"/>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5">
      <c r="A701" s="9"/>
      <c r="B701" s="82"/>
      <c r="C701" s="20"/>
      <c r="D701" s="20"/>
      <c r="E701" s="20"/>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5">
      <c r="A702" s="9"/>
      <c r="B702" s="82"/>
      <c r="C702" s="20"/>
      <c r="D702" s="20"/>
      <c r="E702" s="20"/>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5">
      <c r="A703" s="9"/>
      <c r="B703" s="82"/>
      <c r="C703" s="20"/>
      <c r="D703" s="20"/>
      <c r="E703" s="20"/>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5">
      <c r="A704" s="9"/>
      <c r="B704" s="82"/>
      <c r="C704" s="20"/>
      <c r="D704" s="20"/>
      <c r="E704" s="20"/>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5">
      <c r="A705" s="9"/>
      <c r="B705" s="82"/>
      <c r="C705" s="20"/>
      <c r="D705" s="20"/>
      <c r="E705" s="20"/>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5">
      <c r="A706" s="9"/>
      <c r="B706" s="82"/>
      <c r="C706" s="20"/>
      <c r="D706" s="20"/>
      <c r="E706" s="20"/>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5">
      <c r="A707" s="9"/>
      <c r="B707" s="82"/>
      <c r="C707" s="20"/>
      <c r="D707" s="20"/>
      <c r="E707" s="20"/>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5">
      <c r="A708" s="9"/>
      <c r="B708" s="82"/>
      <c r="C708" s="20"/>
      <c r="D708" s="20"/>
      <c r="E708" s="20"/>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5">
      <c r="A709" s="9"/>
      <c r="B709" s="82"/>
      <c r="C709" s="20"/>
      <c r="D709" s="20"/>
      <c r="E709" s="20"/>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5">
      <c r="A710" s="9"/>
      <c r="B710" s="82"/>
      <c r="C710" s="20"/>
      <c r="D710" s="20"/>
      <c r="E710" s="20"/>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5">
      <c r="A711" s="9"/>
      <c r="B711" s="82"/>
      <c r="C711" s="20"/>
      <c r="D711" s="20"/>
      <c r="E711" s="20"/>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5">
      <c r="A712" s="9"/>
      <c r="B712" s="82"/>
      <c r="C712" s="20"/>
      <c r="D712" s="20"/>
      <c r="E712" s="20"/>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5">
      <c r="A713" s="9"/>
      <c r="B713" s="82"/>
      <c r="C713" s="20"/>
      <c r="D713" s="20"/>
      <c r="E713" s="20"/>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5">
      <c r="A714" s="9"/>
      <c r="B714" s="82"/>
      <c r="C714" s="20"/>
      <c r="D714" s="20"/>
      <c r="E714" s="20"/>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5">
      <c r="A715" s="9"/>
      <c r="B715" s="82"/>
      <c r="C715" s="20"/>
      <c r="D715" s="20"/>
      <c r="E715" s="20"/>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5">
      <c r="A716" s="9"/>
      <c r="B716" s="82"/>
      <c r="C716" s="20"/>
      <c r="D716" s="20"/>
      <c r="E716" s="20"/>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5">
      <c r="A717" s="9"/>
      <c r="B717" s="82"/>
      <c r="C717" s="20"/>
      <c r="D717" s="20"/>
      <c r="E717" s="20"/>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5">
      <c r="A718" s="9"/>
      <c r="B718" s="82"/>
      <c r="C718" s="20"/>
      <c r="D718" s="20"/>
      <c r="E718" s="20"/>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5">
      <c r="A719" s="9"/>
      <c r="B719" s="82"/>
      <c r="C719" s="20"/>
      <c r="D719" s="20"/>
      <c r="E719" s="20"/>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5">
      <c r="A720" s="9"/>
      <c r="B720" s="82"/>
      <c r="C720" s="20"/>
      <c r="D720" s="20"/>
      <c r="E720" s="20"/>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5">
      <c r="A721" s="9"/>
      <c r="B721" s="82"/>
      <c r="C721" s="20"/>
      <c r="D721" s="20"/>
      <c r="E721" s="20"/>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5">
      <c r="A722" s="9"/>
      <c r="B722" s="82"/>
      <c r="C722" s="20"/>
      <c r="D722" s="20"/>
      <c r="E722" s="20"/>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5">
      <c r="A723" s="9"/>
      <c r="B723" s="82"/>
      <c r="C723" s="20"/>
      <c r="D723" s="20"/>
      <c r="E723" s="20"/>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5">
      <c r="A724" s="9"/>
      <c r="B724" s="82"/>
      <c r="C724" s="20"/>
      <c r="D724" s="20"/>
      <c r="E724" s="20"/>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5">
      <c r="A725" s="9"/>
      <c r="B725" s="82"/>
      <c r="C725" s="20"/>
      <c r="D725" s="20"/>
      <c r="E725" s="20"/>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5">
      <c r="A726" s="9"/>
      <c r="B726" s="82"/>
      <c r="C726" s="20"/>
      <c r="D726" s="20"/>
      <c r="E726" s="20"/>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5">
      <c r="A727" s="9"/>
      <c r="B727" s="82"/>
      <c r="C727" s="20"/>
      <c r="D727" s="20"/>
      <c r="E727" s="20"/>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5">
      <c r="A728" s="9"/>
      <c r="B728" s="82"/>
      <c r="C728" s="20"/>
      <c r="D728" s="20"/>
      <c r="E728" s="20"/>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5">
      <c r="A729" s="9"/>
      <c r="B729" s="82"/>
      <c r="C729" s="20"/>
      <c r="D729" s="20"/>
      <c r="E729" s="20"/>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5">
      <c r="A730" s="9"/>
      <c r="B730" s="82"/>
      <c r="C730" s="20"/>
      <c r="D730" s="20"/>
      <c r="E730" s="20"/>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5">
      <c r="A731" s="9"/>
      <c r="B731" s="82"/>
      <c r="C731" s="20"/>
      <c r="D731" s="20"/>
      <c r="E731" s="20"/>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5">
      <c r="A732" s="9"/>
      <c r="B732" s="82"/>
      <c r="C732" s="20"/>
      <c r="D732" s="20"/>
      <c r="E732" s="20"/>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5">
      <c r="A733" s="9"/>
      <c r="B733" s="82"/>
      <c r="C733" s="20"/>
      <c r="D733" s="20"/>
      <c r="E733" s="20"/>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5">
      <c r="A734" s="9"/>
      <c r="B734" s="82"/>
      <c r="C734" s="20"/>
      <c r="D734" s="20"/>
      <c r="E734" s="20"/>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5">
      <c r="A735" s="9"/>
      <c r="B735" s="82"/>
      <c r="C735" s="20"/>
      <c r="D735" s="20"/>
      <c r="E735" s="20"/>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5">
      <c r="A736" s="9"/>
      <c r="B736" s="82"/>
      <c r="C736" s="20"/>
      <c r="D736" s="20"/>
      <c r="E736" s="20"/>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5">
      <c r="A737" s="9"/>
      <c r="B737" s="82"/>
      <c r="C737" s="20"/>
      <c r="D737" s="20"/>
      <c r="E737" s="20"/>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5">
      <c r="A738" s="9"/>
      <c r="B738" s="82"/>
      <c r="C738" s="20"/>
      <c r="D738" s="20"/>
      <c r="E738" s="20"/>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5">
      <c r="A739" s="9"/>
      <c r="B739" s="82"/>
      <c r="C739" s="20"/>
      <c r="D739" s="20"/>
      <c r="E739" s="20"/>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5">
      <c r="A740" s="9"/>
      <c r="B740" s="82"/>
      <c r="C740" s="20"/>
      <c r="D740" s="20"/>
      <c r="E740" s="20"/>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5">
      <c r="A741" s="9"/>
      <c r="B741" s="82"/>
      <c r="C741" s="20"/>
      <c r="D741" s="20"/>
      <c r="E741" s="20"/>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5">
      <c r="A742" s="9"/>
      <c r="B742" s="82"/>
      <c r="C742" s="20"/>
      <c r="D742" s="20"/>
      <c r="E742" s="20"/>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5">
      <c r="A743" s="9"/>
      <c r="B743" s="82"/>
      <c r="C743" s="20"/>
      <c r="D743" s="20"/>
      <c r="E743" s="20"/>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5">
      <c r="A744" s="9"/>
      <c r="B744" s="82"/>
      <c r="C744" s="20"/>
      <c r="D744" s="20"/>
      <c r="E744" s="20"/>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5">
      <c r="A745" s="9"/>
      <c r="B745" s="82"/>
      <c r="C745" s="20"/>
      <c r="D745" s="20"/>
      <c r="E745" s="20"/>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5">
      <c r="A746" s="9"/>
      <c r="B746" s="82"/>
      <c r="C746" s="20"/>
      <c r="D746" s="20"/>
      <c r="E746" s="20"/>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5">
      <c r="A747" s="9"/>
      <c r="B747" s="82"/>
      <c r="C747" s="20"/>
      <c r="D747" s="20"/>
      <c r="E747" s="20"/>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5">
      <c r="A748" s="9"/>
      <c r="B748" s="82"/>
      <c r="C748" s="20"/>
      <c r="D748" s="20"/>
      <c r="E748" s="20"/>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5">
      <c r="A749" s="9"/>
      <c r="B749" s="82"/>
      <c r="C749" s="20"/>
      <c r="D749" s="20"/>
      <c r="E749" s="20"/>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5">
      <c r="A750" s="9"/>
      <c r="B750" s="82"/>
      <c r="C750" s="20"/>
      <c r="D750" s="20"/>
      <c r="E750" s="20"/>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5">
      <c r="A751" s="9"/>
      <c r="B751" s="82"/>
      <c r="C751" s="20"/>
      <c r="D751" s="20"/>
      <c r="E751" s="20"/>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5">
      <c r="A752" s="9"/>
      <c r="B752" s="82"/>
      <c r="C752" s="20"/>
      <c r="D752" s="20"/>
      <c r="E752" s="20"/>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5">
      <c r="A753" s="9"/>
      <c r="B753" s="82"/>
      <c r="C753" s="20"/>
      <c r="D753" s="20"/>
      <c r="E753" s="20"/>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5">
      <c r="A754" s="9"/>
      <c r="B754" s="82"/>
      <c r="C754" s="20"/>
      <c r="D754" s="20"/>
      <c r="E754" s="20"/>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5">
      <c r="A755" s="9"/>
      <c r="B755" s="82"/>
      <c r="C755" s="20"/>
      <c r="D755" s="20"/>
      <c r="E755" s="20"/>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5">
      <c r="A756" s="9"/>
      <c r="B756" s="82"/>
      <c r="C756" s="20"/>
      <c r="D756" s="20"/>
      <c r="E756" s="20"/>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5">
      <c r="A757" s="9"/>
      <c r="B757" s="82"/>
      <c r="C757" s="20"/>
      <c r="D757" s="20"/>
      <c r="E757" s="20"/>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5">
      <c r="A758" s="9"/>
      <c r="B758" s="82"/>
      <c r="C758" s="20"/>
      <c r="D758" s="20"/>
      <c r="E758" s="20"/>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5">
      <c r="A759" s="9"/>
      <c r="B759" s="82"/>
      <c r="C759" s="20"/>
      <c r="D759" s="20"/>
      <c r="E759" s="20"/>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5">
      <c r="A760" s="9"/>
      <c r="B760" s="82"/>
      <c r="C760" s="20"/>
      <c r="D760" s="20"/>
      <c r="E760" s="20"/>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5">
      <c r="A761" s="9"/>
      <c r="B761" s="82"/>
      <c r="C761" s="20"/>
      <c r="D761" s="20"/>
      <c r="E761" s="20"/>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5">
      <c r="A762" s="9"/>
      <c r="B762" s="82"/>
      <c r="C762" s="20"/>
      <c r="D762" s="20"/>
      <c r="E762" s="20"/>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5">
      <c r="A763" s="9"/>
      <c r="B763" s="82"/>
      <c r="C763" s="20"/>
      <c r="D763" s="20"/>
      <c r="E763" s="20"/>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5">
      <c r="A764" s="9"/>
      <c r="B764" s="82"/>
      <c r="C764" s="20"/>
      <c r="D764" s="20"/>
      <c r="E764" s="20"/>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5">
      <c r="A765" s="9"/>
      <c r="B765" s="82"/>
      <c r="C765" s="20"/>
      <c r="D765" s="20"/>
      <c r="E765" s="20"/>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5">
      <c r="A766" s="9"/>
      <c r="B766" s="82"/>
      <c r="C766" s="20"/>
      <c r="D766" s="20"/>
      <c r="E766" s="20"/>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5">
      <c r="A767" s="9"/>
      <c r="B767" s="82"/>
      <c r="C767" s="20"/>
      <c r="D767" s="20"/>
      <c r="E767" s="20"/>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5">
      <c r="A768" s="9"/>
      <c r="B768" s="82"/>
      <c r="C768" s="20"/>
      <c r="D768" s="20"/>
      <c r="E768" s="20"/>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5">
      <c r="A769" s="9"/>
      <c r="B769" s="82"/>
      <c r="C769" s="20"/>
      <c r="D769" s="20"/>
      <c r="E769" s="20"/>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5">
      <c r="A770" s="9"/>
      <c r="B770" s="82"/>
      <c r="C770" s="20"/>
      <c r="D770" s="20"/>
      <c r="E770" s="20"/>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5">
      <c r="A771" s="9"/>
      <c r="B771" s="82"/>
      <c r="C771" s="20"/>
      <c r="D771" s="20"/>
      <c r="E771" s="20"/>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5">
      <c r="A772" s="9"/>
      <c r="B772" s="82"/>
      <c r="C772" s="20"/>
      <c r="D772" s="20"/>
      <c r="E772" s="20"/>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5">
      <c r="A773" s="9"/>
      <c r="B773" s="82"/>
      <c r="C773" s="20"/>
      <c r="D773" s="20"/>
      <c r="E773" s="20"/>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5">
      <c r="A774" s="9"/>
      <c r="B774" s="82"/>
      <c r="C774" s="20"/>
      <c r="D774" s="20"/>
      <c r="E774" s="20"/>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5">
      <c r="A775" s="9"/>
      <c r="B775" s="82"/>
      <c r="C775" s="20"/>
      <c r="D775" s="20"/>
      <c r="E775" s="20"/>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5">
      <c r="A776" s="9"/>
      <c r="B776" s="82"/>
      <c r="C776" s="20"/>
      <c r="D776" s="20"/>
      <c r="E776" s="20"/>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5">
      <c r="A777" s="9"/>
      <c r="B777" s="82"/>
      <c r="C777" s="20"/>
      <c r="D777" s="20"/>
      <c r="E777" s="20"/>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5">
      <c r="A778" s="9"/>
      <c r="B778" s="82"/>
      <c r="C778" s="20"/>
      <c r="D778" s="20"/>
      <c r="E778" s="20"/>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5">
      <c r="A779" s="9"/>
      <c r="B779" s="82"/>
      <c r="C779" s="20"/>
      <c r="D779" s="20"/>
      <c r="E779" s="20"/>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5">
      <c r="A780" s="9"/>
      <c r="B780" s="82"/>
      <c r="C780" s="20"/>
      <c r="D780" s="20"/>
      <c r="E780" s="20"/>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5">
      <c r="A781" s="9"/>
      <c r="B781" s="82"/>
      <c r="C781" s="20"/>
      <c r="D781" s="20"/>
      <c r="E781" s="20"/>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5">
      <c r="A782" s="9"/>
      <c r="B782" s="82"/>
      <c r="C782" s="20"/>
      <c r="D782" s="20"/>
      <c r="E782" s="20"/>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5">
      <c r="A783" s="9"/>
      <c r="B783" s="82"/>
      <c r="C783" s="20"/>
      <c r="D783" s="20"/>
      <c r="E783" s="20"/>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5">
      <c r="A784" s="9"/>
      <c r="B784" s="82"/>
      <c r="C784" s="20"/>
      <c r="D784" s="20"/>
      <c r="E784" s="20"/>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5">
      <c r="A785" s="9"/>
      <c r="B785" s="82"/>
      <c r="C785" s="20"/>
      <c r="D785" s="20"/>
      <c r="E785" s="20"/>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5">
      <c r="A786" s="9"/>
      <c r="B786" s="82"/>
      <c r="C786" s="20"/>
      <c r="D786" s="20"/>
      <c r="E786" s="20"/>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5">
      <c r="A787" s="9"/>
      <c r="B787" s="82"/>
      <c r="C787" s="20"/>
      <c r="D787" s="20"/>
      <c r="E787" s="20"/>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5">
      <c r="A788" s="9"/>
      <c r="B788" s="82"/>
      <c r="C788" s="20"/>
      <c r="D788" s="20"/>
      <c r="E788" s="20"/>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5">
      <c r="A789" s="9"/>
      <c r="B789" s="82"/>
      <c r="C789" s="20"/>
      <c r="D789" s="20"/>
      <c r="E789" s="20"/>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5">
      <c r="A790" s="9"/>
      <c r="B790" s="82"/>
      <c r="C790" s="20"/>
      <c r="D790" s="20"/>
      <c r="E790" s="20"/>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5">
      <c r="A791" s="9"/>
      <c r="B791" s="82"/>
      <c r="C791" s="20"/>
      <c r="D791" s="20"/>
      <c r="E791" s="20"/>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5">
      <c r="A792" s="9"/>
      <c r="B792" s="82"/>
      <c r="C792" s="20"/>
      <c r="D792" s="20"/>
      <c r="E792" s="20"/>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5">
      <c r="A793" s="9"/>
      <c r="B793" s="82"/>
      <c r="C793" s="20"/>
      <c r="D793" s="20"/>
      <c r="E793" s="20"/>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5">
      <c r="A794" s="9"/>
      <c r="B794" s="82"/>
      <c r="C794" s="20"/>
      <c r="D794" s="20"/>
      <c r="E794" s="20"/>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5">
      <c r="A795" s="9"/>
      <c r="B795" s="82"/>
      <c r="C795" s="20"/>
      <c r="D795" s="20"/>
      <c r="E795" s="20"/>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5">
      <c r="A796" s="9"/>
      <c r="B796" s="82"/>
      <c r="C796" s="20"/>
      <c r="D796" s="20"/>
      <c r="E796" s="20"/>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5">
      <c r="A797" s="9"/>
      <c r="B797" s="82"/>
      <c r="C797" s="20"/>
      <c r="D797" s="20"/>
      <c r="E797" s="20"/>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5">
      <c r="A798" s="9"/>
      <c r="B798" s="82"/>
      <c r="C798" s="20"/>
      <c r="D798" s="20"/>
      <c r="E798" s="20"/>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5">
      <c r="A799" s="9"/>
      <c r="B799" s="82"/>
      <c r="C799" s="20"/>
      <c r="D799" s="20"/>
      <c r="E799" s="20"/>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5">
      <c r="A800" s="9"/>
      <c r="B800" s="82"/>
      <c r="C800" s="20"/>
      <c r="D800" s="20"/>
      <c r="E800" s="20"/>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5">
      <c r="A801" s="9"/>
      <c r="B801" s="82"/>
      <c r="C801" s="20"/>
      <c r="D801" s="20"/>
      <c r="E801" s="20"/>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5">
      <c r="A802" s="9"/>
      <c r="B802" s="82"/>
      <c r="C802" s="20"/>
      <c r="D802" s="20"/>
      <c r="E802" s="20"/>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5">
      <c r="A803" s="9"/>
      <c r="B803" s="82"/>
      <c r="C803" s="20"/>
      <c r="D803" s="20"/>
      <c r="E803" s="20"/>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5">
      <c r="A804" s="9"/>
      <c r="B804" s="82"/>
      <c r="C804" s="20"/>
      <c r="D804" s="20"/>
      <c r="E804" s="20"/>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5">
      <c r="A805" s="9"/>
      <c r="B805" s="82"/>
      <c r="C805" s="20"/>
      <c r="D805" s="20"/>
      <c r="E805" s="20"/>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5">
      <c r="A806" s="9"/>
      <c r="B806" s="82"/>
      <c r="C806" s="20"/>
      <c r="D806" s="20"/>
      <c r="E806" s="20"/>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5">
      <c r="A807" s="9"/>
      <c r="B807" s="82"/>
      <c r="C807" s="20"/>
      <c r="D807" s="20"/>
      <c r="E807" s="20"/>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5">
      <c r="A808" s="9"/>
      <c r="B808" s="82"/>
      <c r="C808" s="20"/>
      <c r="D808" s="20"/>
      <c r="E808" s="20"/>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5">
      <c r="A809" s="9"/>
      <c r="B809" s="82"/>
      <c r="C809" s="20"/>
      <c r="D809" s="20"/>
      <c r="E809" s="20"/>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5">
      <c r="A810" s="9"/>
      <c r="B810" s="82"/>
      <c r="C810" s="20"/>
      <c r="D810" s="20"/>
      <c r="E810" s="20"/>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5">
      <c r="A811" s="9"/>
      <c r="B811" s="82"/>
      <c r="C811" s="20"/>
      <c r="D811" s="20"/>
      <c r="E811" s="20"/>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5">
      <c r="A812" s="9"/>
      <c r="B812" s="82"/>
      <c r="C812" s="20"/>
      <c r="D812" s="20"/>
      <c r="E812" s="20"/>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5">
      <c r="A813" s="9"/>
      <c r="B813" s="82"/>
      <c r="C813" s="20"/>
      <c r="D813" s="20"/>
      <c r="E813" s="20"/>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5">
      <c r="A814" s="9"/>
      <c r="B814" s="82"/>
      <c r="C814" s="20"/>
      <c r="D814" s="20"/>
      <c r="E814" s="20"/>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5">
      <c r="A815" s="9"/>
      <c r="B815" s="82"/>
      <c r="C815" s="20"/>
      <c r="D815" s="20"/>
      <c r="E815" s="20"/>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5">
      <c r="A816" s="9"/>
      <c r="B816" s="82"/>
      <c r="C816" s="20"/>
      <c r="D816" s="20"/>
      <c r="E816" s="20"/>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5">
      <c r="A817" s="9"/>
      <c r="B817" s="82"/>
      <c r="C817" s="20"/>
      <c r="D817" s="20"/>
      <c r="E817" s="20"/>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5">
      <c r="A818" s="9"/>
      <c r="B818" s="82"/>
      <c r="C818" s="20"/>
      <c r="D818" s="20"/>
      <c r="E818" s="20"/>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5">
      <c r="A819" s="9"/>
      <c r="B819" s="82"/>
      <c r="C819" s="20"/>
      <c r="D819" s="20"/>
      <c r="E819" s="20"/>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5">
      <c r="A820" s="9"/>
      <c r="B820" s="82"/>
      <c r="C820" s="20"/>
      <c r="D820" s="20"/>
      <c r="E820" s="20"/>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5">
      <c r="A821" s="9"/>
      <c r="B821" s="82"/>
      <c r="C821" s="20"/>
      <c r="D821" s="20"/>
      <c r="E821" s="20"/>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5">
      <c r="A822" s="9"/>
      <c r="B822" s="82"/>
      <c r="C822" s="20"/>
      <c r="D822" s="20"/>
      <c r="E822" s="20"/>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5">
      <c r="A823" s="9"/>
      <c r="B823" s="82"/>
      <c r="C823" s="20"/>
      <c r="D823" s="20"/>
      <c r="E823" s="20"/>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5">
      <c r="A824" s="9"/>
      <c r="B824" s="82"/>
      <c r="C824" s="20"/>
      <c r="D824" s="20"/>
      <c r="E824" s="20"/>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5">
      <c r="A825" s="9"/>
      <c r="B825" s="82"/>
      <c r="C825" s="20"/>
      <c r="D825" s="20"/>
      <c r="E825" s="20"/>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5">
      <c r="A826" s="9"/>
      <c r="B826" s="82"/>
      <c r="C826" s="20"/>
      <c r="D826" s="20"/>
      <c r="E826" s="20"/>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5">
      <c r="A827" s="9"/>
      <c r="B827" s="82"/>
      <c r="C827" s="20"/>
      <c r="D827" s="20"/>
      <c r="E827" s="20"/>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5">
      <c r="A828" s="9"/>
      <c r="B828" s="82"/>
      <c r="C828" s="20"/>
      <c r="D828" s="20"/>
      <c r="E828" s="20"/>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5">
      <c r="A829" s="9"/>
      <c r="B829" s="82"/>
      <c r="C829" s="20"/>
      <c r="D829" s="20"/>
      <c r="E829" s="20"/>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5">
      <c r="A830" s="9"/>
      <c r="B830" s="82"/>
      <c r="C830" s="20"/>
      <c r="D830" s="20"/>
      <c r="E830" s="20"/>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5">
      <c r="A831" s="9"/>
      <c r="B831" s="82"/>
      <c r="C831" s="20"/>
      <c r="D831" s="20"/>
      <c r="E831" s="20"/>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5">
      <c r="A832" s="9"/>
      <c r="B832" s="82"/>
      <c r="C832" s="20"/>
      <c r="D832" s="20"/>
      <c r="E832" s="20"/>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5">
      <c r="A833" s="9"/>
      <c r="B833" s="82"/>
      <c r="C833" s="20"/>
      <c r="D833" s="20"/>
      <c r="E833" s="20"/>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5">
      <c r="A834" s="9"/>
      <c r="B834" s="82"/>
      <c r="C834" s="20"/>
      <c r="D834" s="20"/>
      <c r="E834" s="20"/>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5">
      <c r="A835" s="9"/>
      <c r="B835" s="82"/>
      <c r="C835" s="20"/>
      <c r="D835" s="20"/>
      <c r="E835" s="20"/>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5">
      <c r="A836" s="9"/>
      <c r="B836" s="82"/>
      <c r="C836" s="20"/>
      <c r="D836" s="20"/>
      <c r="E836" s="20"/>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5">
      <c r="A837" s="9"/>
      <c r="B837" s="82"/>
      <c r="C837" s="20"/>
      <c r="D837" s="20"/>
      <c r="E837" s="20"/>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5">
      <c r="A838" s="9"/>
      <c r="B838" s="82"/>
      <c r="C838" s="20"/>
      <c r="D838" s="20"/>
      <c r="E838" s="20"/>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5">
      <c r="A839" s="9"/>
      <c r="B839" s="82"/>
      <c r="C839" s="20"/>
      <c r="D839" s="20"/>
      <c r="E839" s="20"/>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5">
      <c r="A840" s="9"/>
      <c r="B840" s="82"/>
      <c r="C840" s="20"/>
      <c r="D840" s="20"/>
      <c r="E840" s="20"/>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5">
      <c r="A841" s="9"/>
      <c r="B841" s="82"/>
      <c r="C841" s="20"/>
      <c r="D841" s="20"/>
      <c r="E841" s="20"/>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5">
      <c r="A842" s="9"/>
      <c r="B842" s="82"/>
      <c r="C842" s="20"/>
      <c r="D842" s="20"/>
      <c r="E842" s="20"/>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5">
      <c r="A843" s="9"/>
      <c r="B843" s="82"/>
      <c r="C843" s="20"/>
      <c r="D843" s="20"/>
      <c r="E843" s="20"/>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5">
      <c r="A844" s="9"/>
      <c r="B844" s="82"/>
      <c r="C844" s="20"/>
      <c r="D844" s="20"/>
      <c r="E844" s="20"/>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5">
      <c r="A845" s="9"/>
      <c r="B845" s="82"/>
      <c r="C845" s="20"/>
      <c r="D845" s="20"/>
      <c r="E845" s="20"/>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5">
      <c r="A846" s="9"/>
      <c r="B846" s="82"/>
      <c r="C846" s="20"/>
      <c r="D846" s="20"/>
      <c r="E846" s="20"/>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5">
      <c r="A847" s="9"/>
      <c r="B847" s="82"/>
      <c r="C847" s="20"/>
      <c r="D847" s="20"/>
      <c r="E847" s="20"/>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5">
      <c r="A848" s="9"/>
      <c r="B848" s="82"/>
      <c r="C848" s="20"/>
      <c r="D848" s="20"/>
      <c r="E848" s="20"/>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5">
      <c r="A849" s="9"/>
      <c r="B849" s="82"/>
      <c r="C849" s="20"/>
      <c r="D849" s="20"/>
      <c r="E849" s="20"/>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5">
      <c r="A850" s="9"/>
      <c r="B850" s="82"/>
      <c r="C850" s="20"/>
      <c r="D850" s="20"/>
      <c r="E850" s="20"/>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5">
      <c r="A851" s="9"/>
      <c r="B851" s="82"/>
      <c r="C851" s="20"/>
      <c r="D851" s="20"/>
      <c r="E851" s="20"/>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5">
      <c r="A852" s="9"/>
      <c r="B852" s="82"/>
      <c r="C852" s="20"/>
      <c r="D852" s="20"/>
      <c r="E852" s="20"/>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5">
      <c r="A853" s="9"/>
      <c r="B853" s="82"/>
      <c r="C853" s="20"/>
      <c r="D853" s="20"/>
      <c r="E853" s="20"/>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5">
      <c r="A854" s="9"/>
      <c r="B854" s="82"/>
      <c r="C854" s="20"/>
      <c r="D854" s="20"/>
      <c r="E854" s="20"/>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5">
      <c r="A855" s="9"/>
      <c r="B855" s="82"/>
      <c r="C855" s="20"/>
      <c r="D855" s="20"/>
      <c r="E855" s="20"/>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5">
      <c r="A856" s="9"/>
      <c r="B856" s="82"/>
      <c r="C856" s="20"/>
      <c r="D856" s="20"/>
      <c r="E856" s="20"/>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5">
      <c r="A857" s="9"/>
      <c r="B857" s="82"/>
      <c r="C857" s="20"/>
      <c r="D857" s="20"/>
      <c r="E857" s="20"/>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5">
      <c r="A858" s="9"/>
      <c r="B858" s="82"/>
      <c r="C858" s="20"/>
      <c r="D858" s="20"/>
      <c r="E858" s="20"/>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5">
      <c r="A859" s="9"/>
      <c r="B859" s="82"/>
      <c r="C859" s="20"/>
      <c r="D859" s="20"/>
      <c r="E859" s="20"/>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5">
      <c r="A860" s="9"/>
      <c r="B860" s="82"/>
      <c r="C860" s="20"/>
      <c r="D860" s="20"/>
      <c r="E860" s="20"/>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5">
      <c r="A861" s="9"/>
      <c r="B861" s="82"/>
      <c r="C861" s="20"/>
      <c r="D861" s="20"/>
      <c r="E861" s="20"/>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5">
      <c r="A862" s="9"/>
      <c r="B862" s="82"/>
      <c r="C862" s="20"/>
      <c r="D862" s="20"/>
      <c r="E862" s="20"/>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5">
      <c r="A863" s="9"/>
      <c r="B863" s="82"/>
      <c r="C863" s="20"/>
      <c r="D863" s="20"/>
      <c r="E863" s="20"/>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5">
      <c r="A864" s="9"/>
      <c r="B864" s="82"/>
      <c r="C864" s="20"/>
      <c r="D864" s="20"/>
      <c r="E864" s="20"/>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5">
      <c r="A865" s="9"/>
      <c r="B865" s="82"/>
      <c r="C865" s="20"/>
      <c r="D865" s="20"/>
      <c r="E865" s="20"/>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5">
      <c r="A866" s="9"/>
      <c r="B866" s="82"/>
      <c r="C866" s="20"/>
      <c r="D866" s="20"/>
      <c r="E866" s="20"/>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5">
      <c r="A867" s="9"/>
      <c r="B867" s="82"/>
      <c r="C867" s="20"/>
      <c r="D867" s="20"/>
      <c r="E867" s="20"/>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5">
      <c r="A868" s="9"/>
      <c r="B868" s="82"/>
      <c r="C868" s="20"/>
      <c r="D868" s="20"/>
      <c r="E868" s="20"/>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5">
      <c r="A869" s="9"/>
      <c r="B869" s="82"/>
      <c r="C869" s="20"/>
      <c r="D869" s="20"/>
      <c r="E869" s="20"/>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5">
      <c r="A870" s="9"/>
      <c r="B870" s="82"/>
      <c r="C870" s="20"/>
      <c r="D870" s="20"/>
      <c r="E870" s="20"/>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5">
      <c r="A871" s="9"/>
      <c r="B871" s="82"/>
      <c r="C871" s="20"/>
      <c r="D871" s="20"/>
      <c r="E871" s="20"/>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5">
      <c r="A872" s="9"/>
      <c r="B872" s="82"/>
      <c r="C872" s="20"/>
      <c r="D872" s="20"/>
      <c r="E872" s="20"/>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5">
      <c r="A873" s="9"/>
      <c r="B873" s="82"/>
      <c r="C873" s="20"/>
      <c r="D873" s="20"/>
      <c r="E873" s="20"/>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5">
      <c r="A874" s="9"/>
      <c r="B874" s="82"/>
      <c r="C874" s="20"/>
      <c r="D874" s="20"/>
      <c r="E874" s="20"/>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5">
      <c r="A875" s="9"/>
      <c r="B875" s="82"/>
      <c r="C875" s="20"/>
      <c r="D875" s="20"/>
      <c r="E875" s="20"/>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5">
      <c r="A876" s="9"/>
      <c r="B876" s="82"/>
      <c r="C876" s="20"/>
      <c r="D876" s="20"/>
      <c r="E876" s="20"/>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5">
      <c r="A877" s="9"/>
      <c r="B877" s="82"/>
      <c r="C877" s="20"/>
      <c r="D877" s="20"/>
      <c r="E877" s="20"/>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5">
      <c r="A878" s="9"/>
      <c r="B878" s="82"/>
      <c r="C878" s="20"/>
      <c r="D878" s="20"/>
      <c r="E878" s="20"/>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5">
      <c r="A879" s="9"/>
      <c r="B879" s="82"/>
      <c r="C879" s="20"/>
      <c r="D879" s="20"/>
      <c r="E879" s="20"/>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5">
      <c r="A880" s="9"/>
      <c r="B880" s="82"/>
      <c r="C880" s="20"/>
      <c r="D880" s="20"/>
      <c r="E880" s="20"/>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5">
      <c r="A881" s="9"/>
      <c r="B881" s="82"/>
      <c r="C881" s="20"/>
      <c r="D881" s="20"/>
      <c r="E881" s="20"/>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5">
      <c r="A882" s="9"/>
      <c r="B882" s="82"/>
      <c r="C882" s="20"/>
      <c r="D882" s="20"/>
      <c r="E882" s="20"/>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5">
      <c r="A883" s="9"/>
      <c r="B883" s="82"/>
      <c r="C883" s="20"/>
      <c r="D883" s="20"/>
      <c r="E883" s="20"/>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5">
      <c r="A884" s="9"/>
      <c r="B884" s="82"/>
      <c r="C884" s="20"/>
      <c r="D884" s="20"/>
      <c r="E884" s="20"/>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5">
      <c r="A885" s="9"/>
      <c r="B885" s="82"/>
      <c r="C885" s="20"/>
      <c r="D885" s="20"/>
      <c r="E885" s="20"/>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5">
      <c r="A886" s="9"/>
      <c r="B886" s="82"/>
      <c r="C886" s="20"/>
      <c r="D886" s="20"/>
      <c r="E886" s="20"/>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5">
      <c r="A887" s="9"/>
      <c r="B887" s="82"/>
      <c r="C887" s="20"/>
      <c r="D887" s="20"/>
      <c r="E887" s="20"/>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5">
      <c r="A888" s="9"/>
      <c r="B888" s="82"/>
      <c r="C888" s="20"/>
      <c r="D888" s="20"/>
      <c r="E888" s="20"/>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5">
      <c r="A889" s="9"/>
      <c r="B889" s="82"/>
      <c r="C889" s="20"/>
      <c r="D889" s="20"/>
      <c r="E889" s="20"/>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5">
      <c r="A890" s="9"/>
      <c r="B890" s="82"/>
      <c r="C890" s="20"/>
      <c r="D890" s="20"/>
      <c r="E890" s="20"/>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5">
      <c r="A891" s="9"/>
      <c r="B891" s="82"/>
      <c r="C891" s="20"/>
      <c r="D891" s="20"/>
      <c r="E891" s="20"/>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5">
      <c r="A892" s="9"/>
      <c r="B892" s="82"/>
      <c r="C892" s="20"/>
      <c r="D892" s="20"/>
      <c r="E892" s="20"/>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5">
      <c r="A893" s="9"/>
      <c r="B893" s="82"/>
      <c r="C893" s="20"/>
      <c r="D893" s="20"/>
      <c r="E893" s="20"/>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5">
      <c r="A894" s="9"/>
      <c r="B894" s="82"/>
      <c r="C894" s="20"/>
      <c r="D894" s="20"/>
      <c r="E894" s="20"/>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5">
      <c r="A895" s="9"/>
      <c r="B895" s="82"/>
      <c r="C895" s="20"/>
      <c r="D895" s="20"/>
      <c r="E895" s="20"/>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5">
      <c r="A896" s="9"/>
      <c r="B896" s="82"/>
      <c r="C896" s="20"/>
      <c r="D896" s="20"/>
      <c r="E896" s="20"/>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5">
      <c r="A897" s="9"/>
      <c r="B897" s="82"/>
      <c r="C897" s="20"/>
      <c r="D897" s="20"/>
      <c r="E897" s="20"/>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5">
      <c r="A898" s="9"/>
      <c r="B898" s="82"/>
      <c r="C898" s="20"/>
      <c r="D898" s="20"/>
      <c r="E898" s="20"/>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5">
      <c r="A899" s="9"/>
      <c r="B899" s="82"/>
      <c r="C899" s="20"/>
      <c r="D899" s="20"/>
      <c r="E899" s="20"/>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5">
      <c r="A900" s="9"/>
      <c r="B900" s="82"/>
      <c r="C900" s="20"/>
      <c r="D900" s="20"/>
      <c r="E900" s="20"/>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5">
      <c r="A901" s="9"/>
      <c r="B901" s="82"/>
      <c r="C901" s="20"/>
      <c r="D901" s="20"/>
      <c r="E901" s="20"/>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5">
      <c r="A902" s="9"/>
      <c r="B902" s="82"/>
      <c r="C902" s="20"/>
      <c r="D902" s="20"/>
      <c r="E902" s="20"/>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5">
      <c r="A903" s="9"/>
      <c r="B903" s="82"/>
      <c r="C903" s="20"/>
      <c r="D903" s="20"/>
      <c r="E903" s="20"/>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5">
      <c r="A904" s="9"/>
      <c r="B904" s="82"/>
      <c r="C904" s="20"/>
      <c r="D904" s="20"/>
      <c r="E904" s="20"/>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5">
      <c r="A905" s="9"/>
      <c r="B905" s="82"/>
      <c r="C905" s="20"/>
      <c r="D905" s="20"/>
      <c r="E905" s="20"/>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5">
      <c r="A906" s="9"/>
      <c r="B906" s="82"/>
      <c r="C906" s="20"/>
      <c r="D906" s="20"/>
      <c r="E906" s="20"/>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5">
      <c r="A907" s="9"/>
      <c r="B907" s="82"/>
      <c r="C907" s="20"/>
      <c r="D907" s="20"/>
      <c r="E907" s="20"/>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5">
      <c r="A908" s="9"/>
      <c r="B908" s="82"/>
      <c r="C908" s="20"/>
      <c r="D908" s="20"/>
      <c r="E908" s="20"/>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5">
      <c r="A909" s="9"/>
      <c r="B909" s="82"/>
      <c r="C909" s="20"/>
      <c r="D909" s="20"/>
      <c r="E909" s="20"/>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5">
      <c r="A910" s="9"/>
      <c r="B910" s="82"/>
      <c r="C910" s="20"/>
      <c r="D910" s="20"/>
      <c r="E910" s="20"/>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5">
      <c r="A911" s="9"/>
      <c r="B911" s="82"/>
      <c r="C911" s="20"/>
      <c r="D911" s="20"/>
      <c r="E911" s="20"/>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5">
      <c r="A912" s="9"/>
      <c r="B912" s="82"/>
      <c r="C912" s="20"/>
      <c r="D912" s="20"/>
      <c r="E912" s="20"/>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5">
      <c r="A913" s="9"/>
      <c r="B913" s="82"/>
      <c r="C913" s="20"/>
      <c r="D913" s="20"/>
      <c r="E913" s="20"/>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5">
      <c r="A914" s="9"/>
      <c r="B914" s="82"/>
      <c r="C914" s="20"/>
      <c r="D914" s="20"/>
      <c r="E914" s="20"/>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5">
      <c r="A915" s="9"/>
      <c r="B915" s="82"/>
      <c r="C915" s="20"/>
      <c r="D915" s="20"/>
      <c r="E915" s="20"/>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5">
      <c r="A916" s="9"/>
      <c r="B916" s="82"/>
      <c r="C916" s="20"/>
      <c r="D916" s="20"/>
      <c r="E916" s="20"/>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5">
      <c r="A917" s="9"/>
      <c r="B917" s="82"/>
      <c r="C917" s="20"/>
      <c r="D917" s="20"/>
      <c r="E917" s="20"/>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5">
      <c r="A918" s="9"/>
      <c r="B918" s="82"/>
      <c r="C918" s="20"/>
      <c r="D918" s="20"/>
      <c r="E918" s="20"/>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5">
      <c r="A919" s="9"/>
      <c r="B919" s="82"/>
      <c r="C919" s="20"/>
      <c r="D919" s="20"/>
      <c r="E919" s="20"/>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5">
      <c r="A920" s="9"/>
      <c r="B920" s="82"/>
      <c r="C920" s="20"/>
      <c r="D920" s="20"/>
      <c r="E920" s="20"/>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5">
      <c r="A921" s="9"/>
      <c r="B921" s="82"/>
      <c r="C921" s="20"/>
      <c r="D921" s="20"/>
      <c r="E921" s="20"/>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5">
      <c r="A922" s="9"/>
      <c r="B922" s="82"/>
      <c r="C922" s="20"/>
      <c r="D922" s="20"/>
      <c r="E922" s="20"/>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5">
      <c r="A923" s="9"/>
      <c r="B923" s="82"/>
      <c r="C923" s="20"/>
      <c r="D923" s="20"/>
      <c r="E923" s="20"/>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5">
      <c r="A924" s="9"/>
      <c r="B924" s="82"/>
      <c r="C924" s="20"/>
      <c r="D924" s="20"/>
      <c r="E924" s="20"/>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5">
      <c r="A925" s="9"/>
      <c r="B925" s="82"/>
      <c r="C925" s="20"/>
      <c r="D925" s="20"/>
      <c r="E925" s="20"/>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5">
      <c r="A926" s="9"/>
      <c r="B926" s="82"/>
      <c r="C926" s="20"/>
      <c r="D926" s="20"/>
      <c r="E926" s="20"/>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5">
      <c r="A927" s="9"/>
      <c r="B927" s="82"/>
      <c r="C927" s="20"/>
      <c r="D927" s="20"/>
      <c r="E927" s="20"/>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5">
      <c r="A928" s="9"/>
      <c r="B928" s="82"/>
      <c r="C928" s="20"/>
      <c r="D928" s="20"/>
      <c r="E928" s="20"/>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5">
      <c r="A929" s="9"/>
      <c r="B929" s="82"/>
      <c r="C929" s="20"/>
      <c r="D929" s="20"/>
      <c r="E929" s="20"/>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5">
      <c r="A930" s="9"/>
      <c r="B930" s="82"/>
      <c r="C930" s="20"/>
      <c r="D930" s="20"/>
      <c r="E930" s="20"/>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5">
      <c r="A931" s="9"/>
      <c r="B931" s="82"/>
      <c r="C931" s="20"/>
      <c r="D931" s="20"/>
      <c r="E931" s="20"/>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5">
      <c r="A932" s="9"/>
      <c r="B932" s="82"/>
      <c r="C932" s="20"/>
      <c r="D932" s="20"/>
      <c r="E932" s="20"/>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5">
      <c r="A933" s="9"/>
      <c r="B933" s="82"/>
      <c r="C933" s="20"/>
      <c r="D933" s="20"/>
      <c r="E933" s="20"/>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5">
      <c r="A934" s="9"/>
      <c r="B934" s="82"/>
      <c r="C934" s="20"/>
      <c r="D934" s="20"/>
      <c r="E934" s="20"/>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5">
      <c r="A935" s="9"/>
      <c r="B935" s="82"/>
      <c r="C935" s="20"/>
      <c r="D935" s="20"/>
      <c r="E935" s="20"/>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5">
      <c r="A936" s="9"/>
      <c r="B936" s="82"/>
      <c r="C936" s="20"/>
      <c r="D936" s="20"/>
      <c r="E936" s="20"/>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5">
      <c r="A937" s="9"/>
      <c r="B937" s="82"/>
      <c r="C937" s="20"/>
      <c r="D937" s="20"/>
      <c r="E937" s="20"/>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5">
      <c r="A938" s="9"/>
      <c r="B938" s="82"/>
      <c r="C938" s="20"/>
      <c r="D938" s="20"/>
      <c r="E938" s="20"/>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5">
      <c r="A939" s="9"/>
      <c r="B939" s="82"/>
      <c r="C939" s="20"/>
      <c r="D939" s="20"/>
      <c r="E939" s="20"/>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5">
      <c r="A940" s="9"/>
      <c r="B940" s="82"/>
      <c r="C940" s="20"/>
      <c r="D940" s="20"/>
      <c r="E940" s="20"/>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5">
      <c r="A941" s="9"/>
      <c r="B941" s="82"/>
      <c r="C941" s="20"/>
      <c r="D941" s="20"/>
      <c r="E941" s="20"/>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5">
      <c r="A942" s="9"/>
      <c r="B942" s="82"/>
      <c r="C942" s="20"/>
      <c r="D942" s="20"/>
      <c r="E942" s="20"/>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5">
      <c r="A943" s="9"/>
      <c r="B943" s="82"/>
      <c r="C943" s="20"/>
      <c r="D943" s="20"/>
      <c r="E943" s="20"/>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5">
      <c r="A944" s="9"/>
      <c r="B944" s="82"/>
      <c r="C944" s="20"/>
      <c r="D944" s="20"/>
      <c r="E944" s="20"/>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5">
      <c r="A945" s="9"/>
      <c r="B945" s="82"/>
      <c r="C945" s="20"/>
      <c r="D945" s="20"/>
      <c r="E945" s="20"/>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5">
      <c r="A946" s="9"/>
      <c r="B946" s="82"/>
      <c r="C946" s="20"/>
      <c r="D946" s="20"/>
      <c r="E946" s="20"/>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5">
      <c r="A947" s="9"/>
      <c r="B947" s="82"/>
      <c r="C947" s="20"/>
      <c r="D947" s="20"/>
      <c r="E947" s="20"/>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5">
      <c r="A948" s="9"/>
      <c r="B948" s="82"/>
      <c r="C948" s="20"/>
      <c r="D948" s="20"/>
      <c r="E948" s="20"/>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5">
      <c r="A949" s="9"/>
      <c r="B949" s="82"/>
      <c r="C949" s="20"/>
      <c r="D949" s="20"/>
      <c r="E949" s="20"/>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5">
      <c r="A950" s="9"/>
      <c r="B950" s="82"/>
      <c r="C950" s="20"/>
      <c r="D950" s="20"/>
      <c r="E950" s="20"/>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5">
      <c r="A951" s="9"/>
      <c r="B951" s="82"/>
      <c r="C951" s="20"/>
      <c r="D951" s="20"/>
      <c r="E951" s="20"/>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5">
      <c r="A952" s="9"/>
      <c r="B952" s="82"/>
      <c r="C952" s="20"/>
      <c r="D952" s="20"/>
      <c r="E952" s="20"/>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5">
      <c r="A953" s="9"/>
      <c r="B953" s="82"/>
      <c r="C953" s="20"/>
      <c r="D953" s="20"/>
      <c r="E953" s="20"/>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5">
      <c r="A954" s="9"/>
      <c r="B954" s="82"/>
      <c r="C954" s="20"/>
      <c r="D954" s="20"/>
      <c r="E954" s="20"/>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5">
      <c r="A955" s="9"/>
      <c r="B955" s="82"/>
      <c r="C955" s="20"/>
      <c r="D955" s="20"/>
      <c r="E955" s="20"/>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5">
      <c r="A956" s="9"/>
      <c r="B956" s="82"/>
      <c r="C956" s="20"/>
      <c r="D956" s="20"/>
      <c r="E956" s="20"/>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5">
      <c r="A957" s="9"/>
      <c r="B957" s="82"/>
      <c r="C957" s="20"/>
      <c r="D957" s="20"/>
      <c r="E957" s="20"/>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5">
      <c r="A958" s="9"/>
      <c r="B958" s="82"/>
      <c r="C958" s="20"/>
      <c r="D958" s="20"/>
      <c r="E958" s="20"/>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5">
      <c r="A959" s="9"/>
      <c r="B959" s="82"/>
      <c r="C959" s="20"/>
      <c r="D959" s="20"/>
      <c r="E959" s="20"/>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5">
      <c r="A960" s="9"/>
      <c r="B960" s="82"/>
      <c r="C960" s="20"/>
      <c r="D960" s="20"/>
      <c r="E960" s="20"/>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5">
      <c r="A961" s="9"/>
      <c r="B961" s="82"/>
      <c r="C961" s="20"/>
      <c r="D961" s="20"/>
      <c r="E961" s="20"/>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5">
      <c r="A962" s="9"/>
      <c r="B962" s="82"/>
      <c r="C962" s="20"/>
      <c r="D962" s="20"/>
      <c r="E962" s="20"/>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5">
      <c r="A963" s="9"/>
      <c r="B963" s="82"/>
      <c r="C963" s="20"/>
      <c r="D963" s="20"/>
      <c r="E963" s="20"/>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5">
      <c r="A964" s="9"/>
      <c r="B964" s="82"/>
      <c r="C964" s="20"/>
      <c r="D964" s="20"/>
      <c r="E964" s="20"/>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5">
      <c r="A965" s="9"/>
      <c r="B965" s="82"/>
      <c r="C965" s="20"/>
      <c r="D965" s="20"/>
      <c r="E965" s="20"/>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5">
      <c r="A966" s="9"/>
      <c r="B966" s="82"/>
      <c r="C966" s="20"/>
      <c r="D966" s="20"/>
      <c r="E966" s="20"/>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5">
      <c r="A967" s="9"/>
      <c r="B967" s="82"/>
      <c r="C967" s="20"/>
      <c r="D967" s="20"/>
      <c r="E967" s="20"/>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5">
      <c r="A968" s="9"/>
      <c r="B968" s="82"/>
      <c r="C968" s="20"/>
      <c r="D968" s="20"/>
      <c r="E968" s="20"/>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5">
      <c r="A969" s="9"/>
      <c r="B969" s="82"/>
      <c r="C969" s="20"/>
      <c r="D969" s="20"/>
      <c r="E969" s="20"/>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5">
      <c r="A970" s="9"/>
      <c r="B970" s="82"/>
      <c r="C970" s="20"/>
      <c r="D970" s="20"/>
      <c r="E970" s="20"/>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5">
      <c r="A971" s="9"/>
      <c r="B971" s="82"/>
      <c r="C971" s="20"/>
      <c r="D971" s="20"/>
      <c r="E971" s="20"/>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5">
      <c r="A972" s="9"/>
      <c r="B972" s="82"/>
      <c r="C972" s="20"/>
      <c r="D972" s="20"/>
      <c r="E972" s="20"/>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5">
      <c r="A973" s="9"/>
      <c r="B973" s="82"/>
      <c r="C973" s="20"/>
      <c r="D973" s="20"/>
      <c r="E973" s="20"/>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5">
      <c r="A974" s="9"/>
      <c r="B974" s="82"/>
      <c r="C974" s="20"/>
      <c r="D974" s="20"/>
      <c r="E974" s="20"/>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5">
      <c r="A975" s="9"/>
      <c r="B975" s="82"/>
      <c r="C975" s="20"/>
      <c r="D975" s="20"/>
      <c r="E975" s="20"/>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5">
      <c r="A976" s="9"/>
      <c r="B976" s="82"/>
      <c r="C976" s="20"/>
      <c r="D976" s="20"/>
      <c r="E976" s="20"/>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5">
      <c r="A977" s="9"/>
      <c r="B977" s="82"/>
      <c r="C977" s="20"/>
      <c r="D977" s="20"/>
      <c r="E977" s="20"/>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5">
      <c r="A978" s="9"/>
      <c r="B978" s="82"/>
      <c r="C978" s="20"/>
      <c r="D978" s="20"/>
      <c r="E978" s="20"/>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5">
      <c r="A979" s="9"/>
      <c r="B979" s="82"/>
      <c r="C979" s="20"/>
      <c r="D979" s="20"/>
      <c r="E979" s="20"/>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5">
      <c r="A980" s="9"/>
      <c r="B980" s="82"/>
      <c r="C980" s="20"/>
      <c r="D980" s="20"/>
      <c r="E980" s="20"/>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5">
      <c r="A981" s="9"/>
      <c r="B981" s="82"/>
      <c r="C981" s="20"/>
      <c r="D981" s="20"/>
      <c r="E981" s="20"/>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5">
      <c r="A982" s="9"/>
      <c r="B982" s="82"/>
      <c r="C982" s="20"/>
      <c r="D982" s="20"/>
      <c r="E982" s="20"/>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5">
      <c r="A983" s="9"/>
      <c r="B983" s="82"/>
      <c r="C983" s="20"/>
      <c r="D983" s="20"/>
      <c r="E983" s="20"/>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5">
      <c r="A984" s="9"/>
      <c r="B984" s="82"/>
      <c r="C984" s="20"/>
      <c r="D984" s="20"/>
      <c r="E984" s="20"/>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5">
      <c r="A985" s="9"/>
      <c r="B985" s="82"/>
      <c r="C985" s="20"/>
      <c r="D985" s="20"/>
      <c r="E985" s="20"/>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5">
      <c r="A986" s="9"/>
      <c r="B986" s="82"/>
      <c r="C986" s="20"/>
      <c r="D986" s="20"/>
      <c r="E986" s="20"/>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5">
      <c r="A987" s="9"/>
      <c r="B987" s="82"/>
      <c r="C987" s="20"/>
      <c r="D987" s="20"/>
      <c r="E987" s="20"/>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5">
      <c r="A988" s="9"/>
      <c r="B988" s="82"/>
      <c r="C988" s="20"/>
      <c r="D988" s="20"/>
      <c r="E988" s="20"/>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5">
      <c r="A989" s="9"/>
      <c r="B989" s="82"/>
      <c r="C989" s="20"/>
      <c r="D989" s="20"/>
      <c r="E989" s="20"/>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5">
      <c r="A990" s="9"/>
      <c r="B990" s="82"/>
      <c r="C990" s="20"/>
      <c r="D990" s="20"/>
      <c r="E990" s="20"/>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5">
      <c r="A991" s="9"/>
      <c r="B991" s="82"/>
      <c r="C991" s="20"/>
      <c r="D991" s="20"/>
      <c r="E991" s="20"/>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5">
      <c r="A992" s="9"/>
      <c r="B992" s="82"/>
      <c r="C992" s="20"/>
      <c r="D992" s="20"/>
      <c r="E992" s="20"/>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5">
      <c r="A993" s="9"/>
      <c r="B993" s="82"/>
      <c r="C993" s="20"/>
      <c r="D993" s="20"/>
      <c r="E993" s="20"/>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5">
      <c r="A994" s="9"/>
      <c r="B994" s="82"/>
      <c r="C994" s="20"/>
      <c r="D994" s="20"/>
      <c r="E994" s="20"/>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5">
      <c r="A995" s="9"/>
      <c r="B995" s="82"/>
      <c r="C995" s="20"/>
      <c r="D995" s="20"/>
      <c r="E995" s="20"/>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5">
      <c r="A996" s="9"/>
      <c r="B996" s="82"/>
      <c r="C996" s="20"/>
      <c r="D996" s="20"/>
      <c r="E996" s="20"/>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5">
      <c r="A997" s="9"/>
      <c r="B997" s="82"/>
      <c r="C997" s="20"/>
      <c r="D997" s="20"/>
      <c r="E997" s="20"/>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5">
      <c r="A998" s="9"/>
      <c r="B998" s="82"/>
      <c r="C998" s="20"/>
      <c r="D998" s="20"/>
      <c r="E998" s="20"/>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5">
      <c r="A999" s="9"/>
      <c r="B999" s="82"/>
      <c r="C999" s="20"/>
      <c r="D999" s="20"/>
      <c r="E999" s="20"/>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5">
      <c r="A1000" s="9"/>
      <c r="B1000" s="82"/>
      <c r="C1000" s="20"/>
      <c r="D1000" s="20"/>
      <c r="E1000" s="20"/>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6">
    <mergeCell ref="B1:E1"/>
    <mergeCell ref="B2:E2"/>
    <mergeCell ref="B4:E4"/>
    <mergeCell ref="B5:E5"/>
    <mergeCell ref="D6:E6"/>
    <mergeCell ref="B10:E10"/>
    <mergeCell ref="B11:E11"/>
    <mergeCell ref="D12:E12"/>
    <mergeCell ref="B13:C13"/>
    <mergeCell ref="D13:E13"/>
    <mergeCell ref="D14:E14"/>
    <mergeCell ref="D15:E15"/>
    <mergeCell ref="D16:E16"/>
    <mergeCell ref="D17:E17"/>
    <mergeCell ref="B44:E44"/>
    <mergeCell ref="B45:E45"/>
    <mergeCell ref="D46:E46"/>
    <mergeCell ref="B47:C47"/>
    <mergeCell ref="B53:C53"/>
    <mergeCell ref="D19:E19"/>
    <mergeCell ref="D20:E20"/>
    <mergeCell ref="B21:C21"/>
    <mergeCell ref="D21:E21"/>
    <mergeCell ref="B26:C26"/>
    <mergeCell ref="B37:C37"/>
    <mergeCell ref="B40:C40"/>
  </mergeCells>
  <pageMargins left="0.25" right="0.25" top="0.75" bottom="0.75" header="0" footer="0"/>
  <pageSetup paperSize="8" fitToHeight="0" orientation="portrait" r:id="rId1"/>
  <extLst>
    <ext xmlns:x14="http://schemas.microsoft.com/office/spreadsheetml/2009/9/main" uri="{CCE6A557-97BC-4b89-ADB6-D9C93CAAB3DF}">
      <x14:dataValidations xmlns:xm="http://schemas.microsoft.com/office/excel/2006/main" count="2">
        <x14:dataValidation type="list" allowBlank="1" showErrorMessage="1">
          <x14:formula1>
            <xm:f>Liste!$C$2:$C$4</xm:f>
          </x14:formula1>
          <xm:sqref>E32:E36</xm:sqref>
        </x14:dataValidation>
        <x14:dataValidation type="list" allowBlank="1" showErrorMessage="1">
          <x14:formula1>
            <xm:f>Liste!$B$3:$B$4</xm:f>
          </x14:formula1>
          <xm:sqref>C14:C20 C29:C30 C48:C52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4140625" defaultRowHeight="15" customHeight="1" x14ac:dyDescent="0.3"/>
  <cols>
    <col min="1" max="1" width="25.6640625" customWidth="1"/>
    <col min="2" max="2" width="29.6640625" customWidth="1"/>
    <col min="3" max="3" width="30.33203125" customWidth="1"/>
    <col min="4" max="26" width="8.88671875" customWidth="1"/>
  </cols>
  <sheetData>
    <row r="1" spans="1:26" ht="12.75" customHeight="1" x14ac:dyDescent="0.35">
      <c r="A1" s="6" t="s">
        <v>54</v>
      </c>
      <c r="B1" s="6" t="s">
        <v>55</v>
      </c>
      <c r="C1" s="6" t="s">
        <v>56</v>
      </c>
      <c r="D1" s="6" t="s">
        <v>57</v>
      </c>
      <c r="E1" s="5"/>
      <c r="F1" s="5"/>
      <c r="G1" s="5"/>
      <c r="H1" s="5"/>
      <c r="I1" s="5"/>
      <c r="J1" s="5"/>
      <c r="K1" s="5"/>
      <c r="L1" s="5"/>
      <c r="M1" s="5"/>
      <c r="N1" s="5"/>
      <c r="O1" s="5"/>
      <c r="P1" s="5"/>
      <c r="Q1" s="5"/>
      <c r="R1" s="5"/>
      <c r="S1" s="5"/>
      <c r="T1" s="5"/>
      <c r="U1" s="5"/>
      <c r="V1" s="5"/>
      <c r="W1" s="5"/>
      <c r="X1" s="5"/>
      <c r="Y1" s="5"/>
      <c r="Z1" s="5"/>
    </row>
    <row r="2" spans="1:26" ht="12.75" customHeight="1" x14ac:dyDescent="0.35">
      <c r="A2" s="5"/>
      <c r="B2" s="5"/>
      <c r="C2" s="5" t="s">
        <v>31</v>
      </c>
      <c r="D2" s="5" t="s">
        <v>58</v>
      </c>
      <c r="E2" s="5"/>
      <c r="F2" s="5"/>
      <c r="G2" s="5"/>
      <c r="H2" s="5"/>
      <c r="I2" s="5"/>
      <c r="J2" s="5"/>
      <c r="K2" s="5"/>
      <c r="L2" s="5"/>
      <c r="M2" s="5"/>
      <c r="N2" s="5"/>
      <c r="O2" s="5"/>
      <c r="P2" s="5"/>
      <c r="Q2" s="5"/>
      <c r="R2" s="5"/>
      <c r="S2" s="5"/>
      <c r="T2" s="5"/>
      <c r="U2" s="5"/>
      <c r="V2" s="5"/>
      <c r="W2" s="5"/>
      <c r="X2" s="5"/>
      <c r="Y2" s="5"/>
      <c r="Z2" s="5"/>
    </row>
    <row r="3" spans="1:26" ht="12.75" customHeight="1" x14ac:dyDescent="0.35">
      <c r="A3" s="5" t="s">
        <v>59</v>
      </c>
      <c r="B3" s="5" t="s">
        <v>13</v>
      </c>
      <c r="C3" s="5" t="s">
        <v>34</v>
      </c>
      <c r="D3" s="5" t="s">
        <v>60</v>
      </c>
      <c r="E3" s="5"/>
      <c r="F3" s="5"/>
      <c r="G3" s="5"/>
      <c r="H3" s="5"/>
      <c r="I3" s="5"/>
      <c r="J3" s="5"/>
      <c r="K3" s="5"/>
      <c r="L3" s="5"/>
      <c r="M3" s="5"/>
      <c r="N3" s="5"/>
      <c r="O3" s="5"/>
      <c r="P3" s="5"/>
      <c r="Q3" s="5"/>
      <c r="R3" s="5"/>
      <c r="S3" s="5"/>
      <c r="T3" s="5"/>
      <c r="U3" s="5"/>
      <c r="V3" s="5"/>
      <c r="W3" s="5"/>
      <c r="X3" s="5"/>
      <c r="Y3" s="5"/>
      <c r="Z3" s="5"/>
    </row>
    <row r="4" spans="1:26" ht="12.75" customHeight="1" x14ac:dyDescent="0.35">
      <c r="A4" s="5" t="s">
        <v>61</v>
      </c>
      <c r="B4" s="5" t="s">
        <v>15</v>
      </c>
      <c r="C4" s="5" t="s">
        <v>37</v>
      </c>
      <c r="D4" s="5" t="s">
        <v>62</v>
      </c>
      <c r="E4" s="5"/>
      <c r="F4" s="5"/>
      <c r="G4" s="5"/>
      <c r="H4" s="5"/>
      <c r="I4" s="5"/>
      <c r="J4" s="5"/>
      <c r="K4" s="5"/>
      <c r="L4" s="5"/>
      <c r="M4" s="5"/>
      <c r="N4" s="5"/>
      <c r="O4" s="5"/>
      <c r="P4" s="5"/>
      <c r="Q4" s="5"/>
      <c r="R4" s="5"/>
      <c r="S4" s="5"/>
      <c r="T4" s="5"/>
      <c r="U4" s="5"/>
      <c r="V4" s="5"/>
      <c r="W4" s="5"/>
      <c r="X4" s="5"/>
      <c r="Y4" s="5"/>
      <c r="Z4" s="5"/>
    </row>
    <row r="5" spans="1:26" ht="12.75" customHeight="1" x14ac:dyDescent="0.35">
      <c r="A5" s="5" t="s">
        <v>63</v>
      </c>
      <c r="B5" s="5"/>
      <c r="C5" s="5"/>
      <c r="D5" s="5" t="s">
        <v>64</v>
      </c>
      <c r="E5" s="5"/>
      <c r="F5" s="5"/>
      <c r="G5" s="5"/>
      <c r="H5" s="5"/>
      <c r="I5" s="5"/>
      <c r="J5" s="5"/>
      <c r="K5" s="5"/>
      <c r="L5" s="5"/>
      <c r="M5" s="5"/>
      <c r="N5" s="5"/>
      <c r="O5" s="5"/>
      <c r="P5" s="5"/>
      <c r="Q5" s="5"/>
      <c r="R5" s="5"/>
      <c r="S5" s="5"/>
      <c r="T5" s="5"/>
      <c r="U5" s="5"/>
      <c r="V5" s="5"/>
      <c r="W5" s="5"/>
      <c r="X5" s="5"/>
      <c r="Y5" s="5"/>
      <c r="Z5" s="5"/>
    </row>
    <row r="6" spans="1:26" ht="12.75" customHeight="1" x14ac:dyDescent="0.35">
      <c r="A6" s="5" t="s">
        <v>65</v>
      </c>
      <c r="B6" s="5"/>
      <c r="C6" s="5"/>
      <c r="D6" s="5" t="s">
        <v>66</v>
      </c>
      <c r="E6" s="5"/>
      <c r="F6" s="5"/>
      <c r="G6" s="5"/>
      <c r="H6" s="5"/>
      <c r="I6" s="5"/>
      <c r="J6" s="5"/>
      <c r="K6" s="5"/>
      <c r="L6" s="5"/>
      <c r="M6" s="5"/>
      <c r="N6" s="5"/>
      <c r="O6" s="5"/>
      <c r="P6" s="5"/>
      <c r="Q6" s="5"/>
      <c r="R6" s="5"/>
      <c r="S6" s="5"/>
      <c r="T6" s="5"/>
      <c r="U6" s="5"/>
      <c r="V6" s="5"/>
      <c r="W6" s="5"/>
      <c r="X6" s="5"/>
      <c r="Y6" s="5"/>
      <c r="Z6" s="5"/>
    </row>
    <row r="7" spans="1:26" ht="12.75" customHeight="1" x14ac:dyDescent="0.35">
      <c r="A7" s="5" t="s">
        <v>67</v>
      </c>
      <c r="B7" s="5"/>
      <c r="C7" s="5"/>
      <c r="D7" s="5"/>
      <c r="E7" s="5"/>
      <c r="F7" s="5"/>
      <c r="G7" s="5"/>
      <c r="H7" s="5"/>
      <c r="I7" s="5"/>
      <c r="J7" s="5"/>
      <c r="K7" s="5"/>
      <c r="L7" s="5"/>
      <c r="M7" s="5"/>
      <c r="N7" s="5"/>
      <c r="O7" s="5"/>
      <c r="P7" s="5"/>
      <c r="Q7" s="5"/>
      <c r="R7" s="5"/>
      <c r="S7" s="5"/>
      <c r="T7" s="5"/>
      <c r="U7" s="5"/>
      <c r="V7" s="5"/>
      <c r="W7" s="5"/>
      <c r="X7" s="5"/>
      <c r="Y7" s="5"/>
      <c r="Z7" s="5"/>
    </row>
    <row r="8" spans="1:26" ht="12.75" customHeight="1" x14ac:dyDescent="0.35">
      <c r="A8" s="5" t="s">
        <v>68</v>
      </c>
      <c r="B8" s="5"/>
      <c r="C8" s="5"/>
      <c r="D8" s="5"/>
      <c r="E8" s="5"/>
      <c r="F8" s="5"/>
      <c r="G8" s="5"/>
      <c r="H8" s="5"/>
      <c r="I8" s="5"/>
      <c r="J8" s="5"/>
      <c r="K8" s="5"/>
      <c r="L8" s="5"/>
      <c r="M8" s="5"/>
      <c r="N8" s="5"/>
      <c r="O8" s="5"/>
      <c r="P8" s="5"/>
      <c r="Q8" s="5"/>
      <c r="R8" s="5"/>
      <c r="S8" s="5"/>
      <c r="T8" s="5"/>
      <c r="U8" s="5"/>
      <c r="V8" s="5"/>
      <c r="W8" s="5"/>
      <c r="X8" s="5"/>
      <c r="Y8" s="5"/>
      <c r="Z8" s="5"/>
    </row>
    <row r="9" spans="1:26" ht="12.75" customHeight="1" x14ac:dyDescent="0.35">
      <c r="A9" s="5" t="s">
        <v>69</v>
      </c>
      <c r="B9" s="5"/>
      <c r="C9" s="5"/>
      <c r="D9" s="5"/>
      <c r="E9" s="5"/>
      <c r="F9" s="5"/>
      <c r="G9" s="5"/>
      <c r="H9" s="5"/>
      <c r="I9" s="5"/>
      <c r="J9" s="5"/>
      <c r="K9" s="5"/>
      <c r="L9" s="5"/>
      <c r="M9" s="5"/>
      <c r="N9" s="5"/>
      <c r="O9" s="5"/>
      <c r="P9" s="5"/>
      <c r="Q9" s="5"/>
      <c r="R9" s="5"/>
      <c r="S9" s="5"/>
      <c r="T9" s="5"/>
      <c r="U9" s="5"/>
      <c r="V9" s="5"/>
      <c r="W9" s="5"/>
      <c r="X9" s="5"/>
      <c r="Y9" s="5"/>
      <c r="Z9" s="5"/>
    </row>
    <row r="10" spans="1:26" ht="12.75" customHeight="1" x14ac:dyDescent="0.3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2.75" customHeight="1"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2.75" customHeight="1"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3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3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3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3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3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3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3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3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3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3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3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3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3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3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3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3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3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3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3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3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3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3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3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3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3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3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Props1.xml><?xml version="1.0" encoding="utf-8"?>
<ds:datastoreItem xmlns:ds="http://schemas.openxmlformats.org/officeDocument/2006/customXml" ds:itemID="{3EE98B24-2FE4-497B-869A-EF13045BA60E}"/>
</file>

<file path=customXml/itemProps2.xml><?xml version="1.0" encoding="utf-8"?>
<ds:datastoreItem xmlns:ds="http://schemas.openxmlformats.org/officeDocument/2006/customXml" ds:itemID="{894F9E1E-4C07-4F1A-9F2A-5BD8A69909A7}"/>
</file>

<file path=customXml/itemProps3.xml><?xml version="1.0" encoding="utf-8"?>
<ds:datastoreItem xmlns:ds="http://schemas.openxmlformats.org/officeDocument/2006/customXml" ds:itemID="{673B4548-52DF-4A41-9349-36CEA99CDA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Serena Miccolis</dc:creator>
  <cp:lastModifiedBy>Anna Franzoni</cp:lastModifiedBy>
  <dcterms:created xsi:type="dcterms:W3CDTF">2024-01-18T16:43:17Z</dcterms:created>
  <dcterms:modified xsi:type="dcterms:W3CDTF">2025-09-29T14:43:22Z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